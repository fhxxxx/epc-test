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ozhi.hu1\Desktop\景泰\需求相关\AI\税务申报数据整理\台账逻辑梳理\"/>
    </mc:Choice>
  </mc:AlternateContent>
  <xr:revisionPtr revIDLastSave="0" documentId="13_ncr:1_{B83680B7-241B-4815-8FA8-CBBB022894F8}" xr6:coauthVersionLast="47" xr6:coauthVersionMax="47" xr10:uidLastSave="{00000000-0000-0000-0000-000000000000}"/>
  <bookViews>
    <workbookView xWindow="28680" yWindow="-120" windowWidth="29040" windowHeight="15840" tabRatio="864" firstSheet="1" activeTab="10" xr2:uid="{00000000-000D-0000-FFFF-FFFF00000000}"/>
  </bookViews>
  <sheets>
    <sheet name="02月BS" sheetId="51" r:id="rId1"/>
    <sheet name="02月PL" sheetId="52" r:id="rId2"/>
    <sheet name="销项明细" sheetId="55" r:id="rId3"/>
    <sheet name="进项明细" sheetId="56" r:id="rId4"/>
    <sheet name="所得税明细" sheetId="57" r:id="rId5"/>
    <sheet name="印花税明细" sheetId="58" r:id="rId6"/>
    <sheet name="Ref 1_202502_Summary" sheetId="26" r:id="rId7"/>
    <sheet name="Ref 2_202502 增值税销项 （样式）" sheetId="45" r:id="rId8"/>
    <sheet name="Ref 3_202502 增值税进项认证清单" sheetId="49" r:id="rId9"/>
    <sheet name="Ref 4_202502 增值税变动表" sheetId="50" r:id="rId10"/>
    <sheet name="未开票数监控" sheetId="59" r:id="rId11"/>
    <sheet name="伊金悦盛项目累计申报" sheetId="53" r:id="rId12"/>
    <sheet name="伊金悦盛项目累计缴纳" sheetId="54" r:id="rId13"/>
  </sheets>
  <definedNames>
    <definedName name="_epmOfflineCondition_" localSheetId="0">1</definedName>
    <definedName name="_epmOfflineCondition_" localSheetId="1">1</definedName>
    <definedName name="_xlnm._FilterDatabase" localSheetId="7" hidden="1">'Ref 2_202502 增值税销项 （样式）'!#REF!</definedName>
    <definedName name="_xlnm._FilterDatabase" localSheetId="5" hidden="1">印花税明细!#REF!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9" l="1"/>
  <c r="J25" i="26" l="1"/>
  <c r="E23" i="26"/>
  <c r="E19" i="26"/>
  <c r="H19" i="26" s="1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P16" i="54" s="1"/>
  <c r="R15" i="54"/>
  <c r="Q15" i="54"/>
  <c r="P15" i="54"/>
  <c r="P14" i="54"/>
  <c r="P13" i="54"/>
  <c r="R13" i="54" s="1"/>
  <c r="R12" i="54"/>
  <c r="Q12" i="54"/>
  <c r="P12" i="54"/>
  <c r="P11" i="54"/>
  <c r="R10" i="54"/>
  <c r="Q10" i="54"/>
  <c r="P10" i="54"/>
  <c r="P9" i="54"/>
  <c r="P8" i="54"/>
  <c r="P7" i="54"/>
  <c r="R6" i="54"/>
  <c r="Q6" i="54"/>
  <c r="P6" i="54"/>
  <c r="P5" i="54"/>
  <c r="R5" i="54" s="1"/>
  <c r="R4" i="54"/>
  <c r="Q4" i="54"/>
  <c r="P4" i="54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P16" i="53" s="1"/>
  <c r="P15" i="53"/>
  <c r="P14" i="53"/>
  <c r="Q14" i="54" s="1"/>
  <c r="R14" i="54" s="1"/>
  <c r="P13" i="53"/>
  <c r="Q13" i="54" s="1"/>
  <c r="P12" i="53"/>
  <c r="P11" i="53"/>
  <c r="Q11" i="54" s="1"/>
  <c r="R11" i="54" s="1"/>
  <c r="P10" i="53"/>
  <c r="P9" i="53"/>
  <c r="Q9" i="54" s="1"/>
  <c r="P8" i="53"/>
  <c r="Q8" i="54" s="1"/>
  <c r="R8" i="54" s="1"/>
  <c r="P7" i="53"/>
  <c r="Q7" i="54" s="1"/>
  <c r="R7" i="54" s="1"/>
  <c r="P6" i="53"/>
  <c r="P5" i="53"/>
  <c r="Q5" i="54" s="1"/>
  <c r="P4" i="53"/>
  <c r="G16" i="59"/>
  <c r="F16" i="59"/>
  <c r="E16" i="59"/>
  <c r="D16" i="59"/>
  <c r="C16" i="59"/>
  <c r="B16" i="59"/>
  <c r="I15" i="59"/>
  <c r="H15" i="59"/>
  <c r="I14" i="59"/>
  <c r="H14" i="59"/>
  <c r="I13" i="59"/>
  <c r="H13" i="59"/>
  <c r="I12" i="59"/>
  <c r="H12" i="59"/>
  <c r="I11" i="59"/>
  <c r="H11" i="59"/>
  <c r="I10" i="59"/>
  <c r="H10" i="59"/>
  <c r="I9" i="59"/>
  <c r="H9" i="59"/>
  <c r="I8" i="59"/>
  <c r="H8" i="59"/>
  <c r="I7" i="59"/>
  <c r="H7" i="59"/>
  <c r="I6" i="59"/>
  <c r="H6" i="59"/>
  <c r="I5" i="59"/>
  <c r="H5" i="59"/>
  <c r="I4" i="59"/>
  <c r="I16" i="59" s="1"/>
  <c r="F17" i="50"/>
  <c r="F20" i="50" s="1"/>
  <c r="F12" i="50"/>
  <c r="F11" i="50"/>
  <c r="F10" i="50"/>
  <c r="F9" i="50"/>
  <c r="F18" i="50" s="1"/>
  <c r="E9" i="50"/>
  <c r="D9" i="50"/>
  <c r="F8" i="50"/>
  <c r="E8" i="50"/>
  <c r="D8" i="50"/>
  <c r="F7" i="50"/>
  <c r="F6" i="50"/>
  <c r="F5" i="50"/>
  <c r="E21" i="26" s="1"/>
  <c r="H21" i="26" s="1"/>
  <c r="F4" i="50"/>
  <c r="D3" i="50"/>
  <c r="C3" i="50" s="1"/>
  <c r="F3" i="50" s="1"/>
  <c r="D2" i="50"/>
  <c r="C2" i="50" s="1"/>
  <c r="F2" i="50" s="1"/>
  <c r="J41" i="26"/>
  <c r="H38" i="26"/>
  <c r="E38" i="26"/>
  <c r="B37" i="26"/>
  <c r="E34" i="26"/>
  <c r="H34" i="26" s="1"/>
  <c r="K33" i="26"/>
  <c r="H33" i="26"/>
  <c r="H30" i="26"/>
  <c r="K30" i="26" s="1"/>
  <c r="E29" i="26"/>
  <c r="F28" i="26"/>
  <c r="E28" i="26"/>
  <c r="G28" i="26" s="1"/>
  <c r="H24" i="26"/>
  <c r="H23" i="26"/>
  <c r="H22" i="26"/>
  <c r="E22" i="26"/>
  <c r="H20" i="26"/>
  <c r="E20" i="26"/>
  <c r="E17" i="26"/>
  <c r="H16" i="26"/>
  <c r="H15" i="26"/>
  <c r="H14" i="26"/>
  <c r="H13" i="26"/>
  <c r="H12" i="26"/>
  <c r="H11" i="26"/>
  <c r="H10" i="26"/>
  <c r="H9" i="26"/>
  <c r="H8" i="26"/>
  <c r="H7" i="26"/>
  <c r="H6" i="26"/>
  <c r="H17" i="26" s="1"/>
  <c r="H5" i="26"/>
  <c r="K4" i="26"/>
  <c r="J4" i="26"/>
  <c r="H4" i="26"/>
  <c r="N28" i="56"/>
  <c r="J23" i="26" s="1"/>
  <c r="N10" i="55"/>
  <c r="J19" i="26" s="1"/>
  <c r="J40" i="52"/>
  <c r="I40" i="52"/>
  <c r="E40" i="52"/>
  <c r="D30" i="52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E9" i="52"/>
  <c r="D9" i="52" s="1"/>
  <c r="D8" i="52"/>
  <c r="J7" i="52"/>
  <c r="I7" i="52"/>
  <c r="D7" i="52"/>
  <c r="D6" i="52"/>
  <c r="I4" i="26" s="1"/>
  <c r="A6" i="52"/>
  <c r="D5" i="52"/>
  <c r="H16" i="59" l="1"/>
  <c r="K19" i="26"/>
  <c r="Q16" i="54"/>
  <c r="K23" i="26"/>
  <c r="G29" i="26"/>
  <c r="I28" i="26"/>
  <c r="H29" i="26" s="1"/>
  <c r="K17" i="26"/>
  <c r="H41" i="26"/>
  <c r="R9" i="54"/>
  <c r="R16" i="54" s="1"/>
  <c r="H25" i="26"/>
  <c r="K25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tc={7B8CB739-D49B-4BC6-8F28-C5346709E6D1}</author>
    <author>zryh</author>
  </authors>
  <commentList>
    <comment ref="C4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J25" authorId="1" shapeId="0" xr:uid="{7B8CB739-D49B-4BC6-8F28-C5346709E6D1}">
      <text>
        <t>[线程批注]
你的Excel版本可读取此线程批注; 但如果在更新版本的Excel中打开文件，则对批注所作的任何改动都将被删除。了解详细信息: https://go.microsoft.com/fwlink/?linkid=870924
注释:
    如果有所得税还需去掉所得税金额</t>
      </text>
    </comment>
    <comment ref="E30" authorId="2" shapeId="0" xr:uid="{00000000-0006-0000-0600-000002000000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H34" authorId="2" shapeId="0" xr:uid="{00000000-0006-0000-0600-000003000000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</commentList>
</comments>
</file>

<file path=xl/sharedStrings.xml><?xml version="1.0" encoding="utf-8"?>
<sst xmlns="http://schemas.openxmlformats.org/spreadsheetml/2006/main" count="1596" uniqueCount="544">
  <si>
    <t>资产负债表-单体</t>
  </si>
  <si>
    <t>编制单位：伊金霍洛旗悦盛新能源有限公司</t>
  </si>
  <si>
    <t>编制时间：2025.01</t>
  </si>
  <si>
    <t>项目</t>
  </si>
  <si>
    <t>行</t>
  </si>
  <si>
    <t>年初数</t>
  </si>
  <si>
    <t>累计发生数</t>
  </si>
  <si>
    <t>流动资产：</t>
  </si>
  <si>
    <t>流动负债：</t>
  </si>
  <si>
    <t xml:space="preserve">    货币资金</t>
  </si>
  <si>
    <t xml:space="preserve">    短期借款</t>
  </si>
  <si>
    <t xml:space="preserve">    交易性金融资产</t>
  </si>
  <si>
    <t xml:space="preserve">    衍生金融负债</t>
  </si>
  <si>
    <t xml:space="preserve">    衍生金融资产</t>
  </si>
  <si>
    <t xml:space="preserve">   应付票据</t>
  </si>
  <si>
    <t xml:space="preserve">    应收票据</t>
  </si>
  <si>
    <t xml:space="preserve">   应付账款</t>
  </si>
  <si>
    <t xml:space="preserve">    应收账款</t>
  </si>
  <si>
    <t xml:space="preserve">   预收款项</t>
  </si>
  <si>
    <t xml:space="preserve">    应收款项融资</t>
  </si>
  <si>
    <t xml:space="preserve">   合同负债</t>
  </si>
  <si>
    <t xml:space="preserve">    预付款项</t>
  </si>
  <si>
    <t xml:space="preserve">   应付职工薪酬</t>
  </si>
  <si>
    <t xml:space="preserve">    应收利息</t>
  </si>
  <si>
    <t xml:space="preserve">   应交税费</t>
  </si>
  <si>
    <t xml:space="preserve">    应收股利</t>
  </si>
  <si>
    <t xml:space="preserve">   应付利息</t>
  </si>
  <si>
    <t xml:space="preserve">    其他应收款</t>
  </si>
  <si>
    <t xml:space="preserve">    存货</t>
  </si>
  <si>
    <t xml:space="preserve">   应付股利</t>
  </si>
  <si>
    <t xml:space="preserve">    合同资产</t>
  </si>
  <si>
    <t xml:space="preserve">   其他应付款</t>
  </si>
  <si>
    <t xml:space="preserve">    一年内到期的非流动资产</t>
  </si>
  <si>
    <t xml:space="preserve">   递延收益</t>
  </si>
  <si>
    <t xml:space="preserve">    其他流动资产</t>
  </si>
  <si>
    <t xml:space="preserve">   一年内到期的非流动负债</t>
  </si>
  <si>
    <t>流动资产合计</t>
  </si>
  <si>
    <t xml:space="preserve">   其他流动负债</t>
  </si>
  <si>
    <t>非流动资产：</t>
  </si>
  <si>
    <t>流动负债合计</t>
  </si>
  <si>
    <t xml:space="preserve">     其他权益工具投资 </t>
  </si>
  <si>
    <t>非流动负债：</t>
  </si>
  <si>
    <t xml:space="preserve">     债权投资</t>
  </si>
  <si>
    <t xml:space="preserve">    长期借款</t>
  </si>
  <si>
    <t xml:space="preserve">     长期应收款</t>
  </si>
  <si>
    <t xml:space="preserve">    应付债券</t>
  </si>
  <si>
    <t>转出数据</t>
  </si>
  <si>
    <t xml:space="preserve">     长期股权投资</t>
  </si>
  <si>
    <t xml:space="preserve">    租赁负债</t>
  </si>
  <si>
    <t xml:space="preserve">     其他非流动金融资产</t>
  </si>
  <si>
    <t xml:space="preserve">    长期应付款</t>
  </si>
  <si>
    <t xml:space="preserve">     投资性房地产</t>
  </si>
  <si>
    <t xml:space="preserve">    专项应付款</t>
  </si>
  <si>
    <t xml:space="preserve">     固定资产-原值</t>
  </si>
  <si>
    <t xml:space="preserve">    预计负债</t>
  </si>
  <si>
    <t xml:space="preserve">     减：累计折旧</t>
  </si>
  <si>
    <t xml:space="preserve">    递延所得税负债</t>
  </si>
  <si>
    <t xml:space="preserve">     减：固定资产减值准备</t>
  </si>
  <si>
    <t xml:space="preserve">    其他非流动负债</t>
  </si>
  <si>
    <t xml:space="preserve">     固定资产净值</t>
  </si>
  <si>
    <t>非流动负债合计</t>
  </si>
  <si>
    <t xml:space="preserve">     在建工程</t>
  </si>
  <si>
    <t xml:space="preserve">     使用权资产-原值</t>
  </si>
  <si>
    <t xml:space="preserve">     减：使用权资产-累计折旧</t>
  </si>
  <si>
    <t>负债合计</t>
  </si>
  <si>
    <t xml:space="preserve">     使用权资产-净值</t>
  </si>
  <si>
    <t xml:space="preserve">   无形资产</t>
  </si>
  <si>
    <t>所有者权益（股东权益）</t>
  </si>
  <si>
    <t xml:space="preserve">   开发支出</t>
  </si>
  <si>
    <t xml:space="preserve">    实收资本</t>
  </si>
  <si>
    <t xml:space="preserve">   商誉</t>
  </si>
  <si>
    <t xml:space="preserve">    资本公积</t>
  </si>
  <si>
    <t xml:space="preserve">   长期待摊费用</t>
  </si>
  <si>
    <t xml:space="preserve">   盈余公积</t>
  </si>
  <si>
    <t xml:space="preserve">   递延所得税资产</t>
  </si>
  <si>
    <t xml:space="preserve">   其他综合收益</t>
  </si>
  <si>
    <t xml:space="preserve">   其他非流动资产</t>
  </si>
  <si>
    <t xml:space="preserve">   未分配利润</t>
  </si>
  <si>
    <t>非流动资产合计</t>
  </si>
  <si>
    <t>所有者权益（或股东权益）合计</t>
  </si>
  <si>
    <t>资产总计</t>
  </si>
  <si>
    <t>负债和所有者权益总计</t>
  </si>
  <si>
    <t>编制时间：2025.02</t>
  </si>
  <si>
    <t>利润表-单体</t>
  </si>
  <si>
    <t>当期时间</t>
  </si>
  <si>
    <t>本期发生额</t>
  </si>
  <si>
    <t>累计发生额</t>
  </si>
  <si>
    <t>收入</t>
  </si>
  <si>
    <t>销项</t>
  </si>
  <si>
    <t>当前月份</t>
  </si>
  <si>
    <t>一、营业收入</t>
  </si>
  <si>
    <t>光伏</t>
  </si>
  <si>
    <t xml:space="preserve">    其中：营业收入</t>
  </si>
  <si>
    <t>风电</t>
  </si>
  <si>
    <t>主营业务收入</t>
  </si>
  <si>
    <t xml:space="preserve">      其他业务收入</t>
  </si>
  <si>
    <t>二：营业总成本</t>
  </si>
  <si>
    <t xml:space="preserve">    其中：营业成本</t>
  </si>
  <si>
    <t xml:space="preserve">      主营业务成本</t>
  </si>
  <si>
    <t xml:space="preserve">      其他业务成本</t>
  </si>
  <si>
    <t xml:space="preserve">    营业税金及附加</t>
  </si>
  <si>
    <t xml:space="preserve">    销售费用</t>
  </si>
  <si>
    <t xml:space="preserve">    管理费用</t>
  </si>
  <si>
    <t xml:space="preserve">    研发费用</t>
  </si>
  <si>
    <t>财务费用</t>
  </si>
  <si>
    <t>其他收益</t>
  </si>
  <si>
    <t>投资收益（损失以“-”号填列）</t>
  </si>
  <si>
    <t>净敞口套期收益（亏损以“－”号填列）</t>
  </si>
  <si>
    <t>公允价值变动收益</t>
  </si>
  <si>
    <t>信用减值损失（亏损以“－”号填列）</t>
  </si>
  <si>
    <t>资产减值损失</t>
  </si>
  <si>
    <t>资产处置收益（损失以“-”号填列）</t>
  </si>
  <si>
    <t>三、营业利润</t>
  </si>
  <si>
    <t xml:space="preserve">    加：营业外收入</t>
  </si>
  <si>
    <t xml:space="preserve">    减：营业外支出</t>
  </si>
  <si>
    <t>四、利润总额（亏损总额以“－”号填列）</t>
  </si>
  <si>
    <t xml:space="preserve">   减：所得税费用</t>
  </si>
  <si>
    <t>五、净利润（净亏损以“－”号填列）</t>
  </si>
  <si>
    <t>公司代码</t>
  </si>
  <si>
    <t>财年</t>
  </si>
  <si>
    <t>过账期间</t>
  </si>
  <si>
    <t>凭证编号</t>
  </si>
  <si>
    <t>凭证日期</t>
  </si>
  <si>
    <t>凭证类型</t>
  </si>
  <si>
    <t>过账日期</t>
  </si>
  <si>
    <t>年度/月份</t>
  </si>
  <si>
    <t>分配</t>
  </si>
  <si>
    <t>总帐帐目</t>
  </si>
  <si>
    <t>本币金额</t>
  </si>
  <si>
    <t>本币</t>
  </si>
  <si>
    <t>物料</t>
  </si>
  <si>
    <t>显示货币的金额</t>
  </si>
  <si>
    <t>凭证货币</t>
  </si>
  <si>
    <t>贸易伙伴</t>
  </si>
  <si>
    <t>记帐代码</t>
  </si>
  <si>
    <t>税码</t>
  </si>
  <si>
    <t>数量</t>
  </si>
  <si>
    <t>采购凭证</t>
  </si>
  <si>
    <t>参照</t>
  </si>
  <si>
    <t>清帐凭证</t>
  </si>
  <si>
    <t>文本</t>
  </si>
  <si>
    <t>凭证抬头文本</t>
  </si>
  <si>
    <t>客户</t>
  </si>
  <si>
    <t>供应商</t>
  </si>
  <si>
    <t>WBS 要素</t>
  </si>
  <si>
    <t>成本中心</t>
  </si>
  <si>
    <t>订单</t>
  </si>
  <si>
    <t>清帐日期</t>
  </si>
  <si>
    <t>4470</t>
  </si>
  <si>
    <t>2025</t>
  </si>
  <si>
    <t>2</t>
  </si>
  <si>
    <t>3000000007</t>
  </si>
  <si>
    <t>DR</t>
  </si>
  <si>
    <t>2025/02</t>
  </si>
  <si>
    <t>暂估02月电费收入</t>
  </si>
  <si>
    <t>2221010200</t>
  </si>
  <si>
    <t>RMB</t>
  </si>
  <si>
    <t/>
  </si>
  <si>
    <t>B012</t>
  </si>
  <si>
    <t>50</t>
  </si>
  <si>
    <t>暂估2025年02月电费收入-远景动力（风电）</t>
  </si>
  <si>
    <t>暂估2025年02月电费收入-远景动力</t>
  </si>
  <si>
    <t>40</t>
  </si>
  <si>
    <t>政策性交叉补贴</t>
  </si>
  <si>
    <t>系统备用费用</t>
  </si>
  <si>
    <t>3000000008</t>
  </si>
  <si>
    <t>暂估2025年02月电费收入-远景动力（光伏）</t>
  </si>
  <si>
    <t>3000000009</t>
  </si>
  <si>
    <t>02月电费收入</t>
  </si>
  <si>
    <t>暂估46万零碳电费收入</t>
  </si>
  <si>
    <t>1000000096</t>
  </si>
  <si>
    <t>SA</t>
  </si>
  <si>
    <t>2221010100</t>
  </si>
  <si>
    <t>调整4-12，下网电费税号开错，进项调整。</t>
  </si>
  <si>
    <t>调整4-12</t>
  </si>
  <si>
    <t>1000000097</t>
  </si>
  <si>
    <t>调整4-10 ，下网电费税号开错，进项调整。</t>
  </si>
  <si>
    <t>调整4-10</t>
  </si>
  <si>
    <t>1000000098</t>
  </si>
  <si>
    <t>调整4-11，下网电费税号开错，进项调整。</t>
  </si>
  <si>
    <t>调整4-11</t>
  </si>
  <si>
    <t>4000000035</t>
  </si>
  <si>
    <t>KR</t>
  </si>
  <si>
    <t>447002</t>
  </si>
  <si>
    <t>J2</t>
  </si>
  <si>
    <t>25157*18271151/1</t>
  </si>
  <si>
    <t>25157*18271151/152762,ATJT20241000704/202501001</t>
  </si>
  <si>
    <t>ATJT20241000704/202501001</t>
  </si>
  <si>
    <t>4000000036</t>
  </si>
  <si>
    <t>E-1246</t>
  </si>
  <si>
    <t>04127570</t>
  </si>
  <si>
    <t>04127570,ATJT20241200199,加油卡预付回票</t>
  </si>
  <si>
    <t>ATJT20241200199,加油卡预付回票</t>
  </si>
  <si>
    <t>4000000037</t>
  </si>
  <si>
    <t>447002-生产部-碳4万(自运维</t>
  </si>
  <si>
    <t>1000</t>
  </si>
  <si>
    <t>J4</t>
  </si>
  <si>
    <t>APJT20250200056</t>
  </si>
  <si>
    <t>APJT20250200056,25322*26402336</t>
  </si>
  <si>
    <t>25322*26402336</t>
  </si>
  <si>
    <t>4000000038</t>
  </si>
  <si>
    <t>447004-生产部-零碳46万(昌</t>
  </si>
  <si>
    <t>APJT20250200060</t>
  </si>
  <si>
    <t>APJT20250200060,25322*26461738</t>
  </si>
  <si>
    <t>25322*26461738</t>
  </si>
  <si>
    <t>4000000039</t>
  </si>
  <si>
    <t>RE</t>
  </si>
  <si>
    <t>25342*21849078</t>
  </si>
  <si>
    <t>CGDD010053-9720012445</t>
  </si>
  <si>
    <t>4000000043</t>
  </si>
  <si>
    <t>25671188</t>
  </si>
  <si>
    <t>CGDD010200-9210183322</t>
  </si>
  <si>
    <t>4000000044</t>
  </si>
  <si>
    <t>APJT20250200097</t>
  </si>
  <si>
    <t>APJT20250200097,05281350</t>
  </si>
  <si>
    <t>05281350</t>
  </si>
  <si>
    <t>4000000047</t>
  </si>
  <si>
    <t>APJT20250200244</t>
  </si>
  <si>
    <t>APJT20250200244,25312*49452397</t>
  </si>
  <si>
    <t>25312*49452397</t>
  </si>
  <si>
    <t>4000000049</t>
  </si>
  <si>
    <t>25112*36466812</t>
  </si>
  <si>
    <t>CGDD010616-9720012486</t>
  </si>
  <si>
    <t>4000000053</t>
  </si>
  <si>
    <t>25157*14158360</t>
  </si>
  <si>
    <t>25157*14158360,ATJT20241000078，24年12月下网电</t>
  </si>
  <si>
    <t>ATJT20241000078，24年12月下网电</t>
  </si>
  <si>
    <t>4000000054</t>
  </si>
  <si>
    <t>24157*20742238</t>
  </si>
  <si>
    <t>24157*20742238,ATJT20241000078，11月下网电费回票</t>
  </si>
  <si>
    <t>ATJT20241000078，11月下网电费回票</t>
  </si>
  <si>
    <t>4000000055</t>
  </si>
  <si>
    <t>25157*14158350</t>
  </si>
  <si>
    <t>25157*14158350,ATJT20241000078，11月下网需量电费</t>
  </si>
  <si>
    <t>ATJT20241000078，11月下网需量电费</t>
  </si>
  <si>
    <t>4000000056</t>
  </si>
  <si>
    <t>25157*18424906</t>
  </si>
  <si>
    <t>25157*18424906,ATJT20241000078，11月下网电费回票</t>
  </si>
  <si>
    <t>4000000057</t>
  </si>
  <si>
    <t>25157*18424916</t>
  </si>
  <si>
    <t>25157*18424916,ATJT20241000078，12月下网电费</t>
  </si>
  <si>
    <t>ATJT20241000078，12月下网电费</t>
  </si>
  <si>
    <t>4000000058</t>
  </si>
  <si>
    <t>447005</t>
  </si>
  <si>
    <t>25157*18424917</t>
  </si>
  <si>
    <t>25157*18424917,ATJT20250100442/202410000</t>
  </si>
  <si>
    <t>ATJT20250100442/202410000</t>
  </si>
  <si>
    <t>4000000059</t>
  </si>
  <si>
    <t>APJT20250200475</t>
  </si>
  <si>
    <t>APJT20250200475,25322*73754460</t>
  </si>
  <si>
    <t>25322*73754460</t>
  </si>
  <si>
    <t>4000000060</t>
  </si>
  <si>
    <t>APJT20250200477</t>
  </si>
  <si>
    <t>APJT20250200477,25322*73656142</t>
  </si>
  <si>
    <t>25322*73656142</t>
  </si>
  <si>
    <t>4000000061</t>
  </si>
  <si>
    <t>SGJTZX</t>
  </si>
  <si>
    <t>2450</t>
  </si>
  <si>
    <t>计景泰2月咨询服务费-零碳产业园41W风+5W光25312*61175368</t>
  </si>
  <si>
    <t>25312*6117536820250228000</t>
  </si>
  <si>
    <t>4000000062</t>
  </si>
  <si>
    <t>计景泰2月咨询服务费-零碳4MW25312*61167361</t>
  </si>
  <si>
    <t>25312*6116736120250228000</t>
  </si>
  <si>
    <t>4000000063</t>
  </si>
  <si>
    <t>计景泰2月咨询服务费-零碳产业园41W风+5W光25312*61167362</t>
  </si>
  <si>
    <t>25312*6116736220250228000</t>
  </si>
  <si>
    <t>伊金霍洛旗悦盛新能源有限公司2025年02月（税务所属期）税费申报明细</t>
  </si>
  <si>
    <r>
      <rPr>
        <b/>
        <sz val="11"/>
        <color theme="0"/>
        <rFont val="宋体"/>
        <family val="3"/>
        <charset val="134"/>
      </rPr>
      <t>序号</t>
    </r>
  </si>
  <si>
    <r>
      <rPr>
        <b/>
        <sz val="11"/>
        <color theme="0"/>
        <rFont val="宋体"/>
        <family val="3"/>
        <charset val="134"/>
      </rPr>
      <t>申报税种</t>
    </r>
  </si>
  <si>
    <r>
      <rPr>
        <b/>
        <sz val="11"/>
        <color theme="0"/>
        <rFont val="宋体"/>
        <family val="3"/>
        <charset val="134"/>
      </rPr>
      <t>税目</t>
    </r>
  </si>
  <si>
    <r>
      <rPr>
        <b/>
        <sz val="11"/>
        <color theme="0"/>
        <rFont val="宋体"/>
        <family val="3"/>
        <charset val="134"/>
      </rPr>
      <t>计税依据（记账科目</t>
    </r>
    <r>
      <rPr>
        <b/>
        <sz val="11"/>
        <color theme="0"/>
        <rFont val="Arial"/>
        <family val="2"/>
      </rPr>
      <t>/</t>
    </r>
    <r>
      <rPr>
        <b/>
        <sz val="11"/>
        <color theme="0"/>
        <rFont val="宋体"/>
        <family val="3"/>
        <charset val="134"/>
      </rPr>
      <t>计税表格）</t>
    </r>
  </si>
  <si>
    <r>
      <rPr>
        <b/>
        <sz val="11"/>
        <color theme="0"/>
        <rFont val="宋体"/>
        <family val="3"/>
        <charset val="134"/>
      </rPr>
      <t>计税金额</t>
    </r>
    <r>
      <rPr>
        <b/>
        <sz val="11"/>
        <color theme="0"/>
        <rFont val="Arial"/>
        <family val="2"/>
      </rPr>
      <t xml:space="preserve"> (A)-</t>
    </r>
    <r>
      <rPr>
        <b/>
        <sz val="11"/>
        <color theme="0"/>
        <rFont val="宋体"/>
        <family val="3"/>
        <charset val="134"/>
      </rPr>
      <t>季度</t>
    </r>
  </si>
  <si>
    <r>
      <rPr>
        <b/>
        <sz val="11"/>
        <color theme="0"/>
        <rFont val="宋体"/>
        <family val="3"/>
        <charset val="134"/>
      </rPr>
      <t>征收比例</t>
    </r>
    <r>
      <rPr>
        <b/>
        <sz val="11"/>
        <color theme="0"/>
        <rFont val="Arial"/>
        <family val="2"/>
      </rPr>
      <t xml:space="preserve"> (B)</t>
    </r>
  </si>
  <si>
    <r>
      <rPr>
        <b/>
        <sz val="11"/>
        <color theme="0"/>
        <rFont val="宋体"/>
        <family val="3"/>
        <charset val="134"/>
      </rPr>
      <t>税率</t>
    </r>
    <r>
      <rPr>
        <b/>
        <sz val="11"/>
        <color theme="0"/>
        <rFont val="Arial"/>
        <family val="2"/>
      </rPr>
      <t xml:space="preserve"> (C)</t>
    </r>
  </si>
  <si>
    <r>
      <rPr>
        <b/>
        <sz val="11"/>
        <color theme="0"/>
        <rFont val="宋体"/>
        <family val="3"/>
        <charset val="134"/>
      </rPr>
      <t>实际应纳税额</t>
    </r>
    <r>
      <rPr>
        <b/>
        <sz val="11"/>
        <color theme="0"/>
        <rFont val="Arial"/>
        <family val="2"/>
      </rPr>
      <t xml:space="preserve">  (D)</t>
    </r>
  </si>
  <si>
    <t>计税金额-2025年01月</t>
  </si>
  <si>
    <t>计税金额-2025年02月</t>
  </si>
  <si>
    <t>计税金额-2025年03月</t>
  </si>
  <si>
    <r>
      <rPr>
        <b/>
        <sz val="11"/>
        <color theme="0"/>
        <rFont val="等线"/>
        <family val="3"/>
        <charset val="134"/>
      </rPr>
      <t>差异原因</t>
    </r>
  </si>
  <si>
    <r>
      <rPr>
        <b/>
        <sz val="11"/>
        <color theme="0"/>
        <rFont val="等线"/>
        <family val="3"/>
        <charset val="134"/>
      </rPr>
      <t>指引</t>
    </r>
  </si>
  <si>
    <r>
      <rPr>
        <b/>
        <sz val="11"/>
        <color rgb="FF000000"/>
        <rFont val="宋体"/>
        <family val="3"/>
        <charset val="134"/>
      </rPr>
      <t>印花税</t>
    </r>
  </si>
  <si>
    <t>买卖合同</t>
  </si>
  <si>
    <t>主营业务收入&amp;财务提供</t>
  </si>
  <si>
    <t>PL</t>
  </si>
  <si>
    <t>融资租赁合同</t>
  </si>
  <si>
    <t>财务提供</t>
  </si>
  <si>
    <t>Ref 1</t>
  </si>
  <si>
    <t>借款合同</t>
  </si>
  <si>
    <t xml:space="preserve">承揽合同 </t>
  </si>
  <si>
    <t xml:space="preserve">建设工程合同 </t>
  </si>
  <si>
    <t xml:space="preserve">运输合同  </t>
  </si>
  <si>
    <t xml:space="preserve">技术合同 </t>
  </si>
  <si>
    <t xml:space="preserve">租赁合同 </t>
  </si>
  <si>
    <t xml:space="preserve">保管合同 </t>
  </si>
  <si>
    <t>仓储合同</t>
  </si>
  <si>
    <t>财产保险合同</t>
  </si>
  <si>
    <t>营业账簿</t>
  </si>
  <si>
    <t>产权转移书据</t>
  </si>
  <si>
    <r>
      <rPr>
        <b/>
        <sz val="11"/>
        <rFont val="宋体"/>
        <family val="3"/>
        <charset val="134"/>
      </rPr>
      <t>印花税合计</t>
    </r>
  </si>
  <si>
    <t>60000200000001</t>
  </si>
  <si>
    <t>自行判断：申报期上月末资产总额不超过5000万元</t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</si>
  <si>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序号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</si>
  <si>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申报税种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</si>
  <si>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税目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</si>
  <si>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计税依据（记账科目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计税表格）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</si>
  <si>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宋体"/>
        <family val="3"/>
        <charset val="134"/>
      </rPr>
      <t xml:space="preserve">    </t>
    </r>
    <r>
      <rPr>
        <b/>
        <sz val="11"/>
        <rFont val="宋体"/>
        <family val="3"/>
        <charset val="134"/>
      </rPr>
      <t>计税金额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</si>
  <si>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征收比例</t>
    </r>
    <r>
      <rPr>
        <b/>
        <sz val="11"/>
        <rFont val="Arial"/>
        <family val="2"/>
      </rPr>
      <t xml:space="preserve"> (B)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</si>
  <si>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税率</t>
    </r>
    <r>
      <rPr>
        <b/>
        <sz val="11"/>
        <rFont val="Arial"/>
        <family val="2"/>
      </rPr>
      <t xml:space="preserve"> (C)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</si>
  <si>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实际应纳税额</t>
    </r>
    <r>
      <rPr>
        <b/>
        <sz val="11"/>
        <rFont val="Arial"/>
        <family val="2"/>
      </rPr>
      <t xml:space="preserve">  (D)    </t>
    </r>
  </si>
  <si>
    <t>记账科目</t>
  </si>
  <si>
    <r>
      <rPr>
        <b/>
        <sz val="11"/>
        <color theme="0"/>
        <rFont val="宋体"/>
        <family val="3"/>
        <charset val="134"/>
      </rPr>
      <t xml:space="preserve"> 账面金额</t>
    </r>
    <r>
      <rPr>
        <b/>
        <sz val="11"/>
        <color indexed="9"/>
        <rFont val="Arial"/>
        <family val="2"/>
      </rPr>
      <t xml:space="preserve"> </t>
    </r>
  </si>
  <si>
    <r>
      <rPr>
        <b/>
        <sz val="11"/>
        <color theme="0"/>
        <rFont val="宋体"/>
        <family val="3"/>
        <charset val="134"/>
      </rPr>
      <t xml:space="preserve"> 差异</t>
    </r>
    <r>
      <rPr>
        <b/>
        <sz val="11"/>
        <color indexed="9"/>
        <rFont val="Arial"/>
        <family val="2"/>
      </rPr>
      <t xml:space="preserve"> </t>
    </r>
  </si>
  <si>
    <r>
      <rPr>
        <b/>
        <sz val="11"/>
        <color theme="0"/>
        <rFont val="Arial"/>
        <family val="2"/>
      </rPr>
      <t xml:space="preserve">    </t>
    </r>
    <r>
      <rPr>
        <i/>
        <sz val="11"/>
        <rFont val="宋体"/>
        <family val="3"/>
        <charset val="134"/>
      </rPr>
      <t>差异原因</t>
    </r>
    <r>
      <rPr>
        <i/>
        <sz val="11"/>
        <rFont val="Arial"/>
        <family val="2"/>
      </rPr>
      <t xml:space="preserve">    </t>
    </r>
  </si>
  <si>
    <r>
      <rPr>
        <b/>
        <sz val="11"/>
        <color rgb="FF000000"/>
        <rFont val="宋体"/>
        <family val="3"/>
        <charset val="134"/>
      </rPr>
      <t>增值税</t>
    </r>
  </si>
  <si>
    <t>销项税额-主营业务收入</t>
  </si>
  <si>
    <t>尾差，以账面计提申报为准</t>
  </si>
  <si>
    <r>
      <rPr>
        <sz val="11"/>
        <color rgb="FF000000"/>
        <rFont val="Arial Unicode MS"/>
        <family val="2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Arial Unicode MS"/>
        <family val="2"/>
      </rPr>
      <t>固定资产处置收入</t>
    </r>
  </si>
  <si>
    <r>
      <rPr>
        <sz val="11"/>
        <color rgb="FF000000"/>
        <rFont val="微软雅黑"/>
        <family val="2"/>
        <charset val="134"/>
      </rPr>
      <t>固定资产销售</t>
    </r>
    <r>
      <rPr>
        <sz val="11"/>
        <color rgb="FF000000"/>
        <rFont val="宋体"/>
        <family val="3"/>
        <charset val="134"/>
      </rPr>
      <t>收入</t>
    </r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</si>
  <si>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财务费用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利息收入</t>
    </r>
  </si>
  <si>
    <t>利息收入</t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</si>
  <si>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其他收益</t>
    </r>
  </si>
  <si>
    <t>个税手续费返还</t>
  </si>
  <si>
    <t>增值税进项税额</t>
  </si>
  <si>
    <t>见表-增值税进项认证清单</t>
  </si>
  <si>
    <t>不适用</t>
  </si>
  <si>
    <t>Ref 3</t>
  </si>
  <si>
    <t>期初进项留抵金额</t>
  </si>
  <si>
    <t>见表-增值税变动表</t>
  </si>
  <si>
    <t>Ref 4</t>
  </si>
  <si>
    <t>期末进项留抵金额</t>
  </si>
  <si>
    <r>
      <rPr>
        <b/>
        <sz val="11"/>
        <rFont val="宋体"/>
        <family val="3"/>
        <charset val="134"/>
      </rPr>
      <t>增值税合计</t>
    </r>
  </si>
  <si>
    <t>61400200000001</t>
  </si>
  <si>
    <t xml:space="preserve">企业所得税 </t>
  </si>
  <si>
    <t>项目名称</t>
  </si>
  <si>
    <t>所处优惠期</t>
  </si>
  <si>
    <t>应纳税所得额</t>
  </si>
  <si>
    <r>
      <rPr>
        <b/>
        <sz val="11"/>
        <rFont val="微软雅黑"/>
        <family val="2"/>
        <charset val="134"/>
      </rPr>
      <t>征收</t>
    </r>
    <r>
      <rPr>
        <b/>
        <sz val="11"/>
        <rFont val="宋体"/>
        <family val="3"/>
        <charset val="134"/>
      </rPr>
      <t>税率</t>
    </r>
  </si>
  <si>
    <r>
      <rPr>
        <b/>
        <sz val="11"/>
        <rFont val="宋体"/>
        <family val="3"/>
        <charset val="134"/>
      </rPr>
      <t>当</t>
    </r>
    <r>
      <rPr>
        <b/>
        <sz val="11"/>
        <rFont val="微软雅黑"/>
        <family val="2"/>
        <charset val="134"/>
      </rPr>
      <t>年</t>
    </r>
    <r>
      <rPr>
        <b/>
        <sz val="11"/>
        <rFont val="宋体"/>
        <family val="3"/>
        <charset val="134"/>
      </rPr>
      <t>应</t>
    </r>
    <r>
      <rPr>
        <b/>
        <sz val="11"/>
        <rFont val="微软雅黑"/>
        <family val="2"/>
        <charset val="134"/>
      </rPr>
      <t>缴税额</t>
    </r>
  </si>
  <si>
    <r>
      <rPr>
        <b/>
        <sz val="11"/>
        <rFont val="Arial"/>
        <family val="2"/>
      </rPr>
      <t>Q1</t>
    </r>
    <r>
      <rPr>
        <b/>
        <sz val="11"/>
        <rFont val="微软雅黑"/>
        <family val="2"/>
        <charset val="134"/>
      </rPr>
      <t>已缴税额</t>
    </r>
  </si>
  <si>
    <r>
      <rPr>
        <b/>
        <sz val="11"/>
        <rFont val="Arial"/>
        <family val="2"/>
      </rPr>
      <t>Q2</t>
    </r>
    <r>
      <rPr>
        <b/>
        <sz val="11"/>
        <rFont val="微软雅黑"/>
        <family val="2"/>
        <charset val="134"/>
      </rPr>
      <t>应缴税额</t>
    </r>
  </si>
  <si>
    <r>
      <rPr>
        <b/>
        <sz val="11"/>
        <rFont val="Arial"/>
        <family val="2"/>
      </rPr>
      <t>Q3</t>
    </r>
    <r>
      <rPr>
        <b/>
        <sz val="11"/>
        <rFont val="微软雅黑"/>
        <family val="2"/>
        <charset val="134"/>
      </rPr>
      <t>应缴税额</t>
    </r>
  </si>
  <si>
    <r>
      <rPr>
        <b/>
        <sz val="11"/>
        <rFont val="Arial"/>
        <family val="2"/>
      </rPr>
      <t>Q4</t>
    </r>
    <r>
      <rPr>
        <b/>
        <sz val="11"/>
        <rFont val="微软雅黑"/>
        <family val="2"/>
        <charset val="134"/>
      </rPr>
      <t>应缴税额</t>
    </r>
  </si>
  <si>
    <t>鄂尔多斯（2023-2025三免期）</t>
  </si>
  <si>
    <t>减免期</t>
  </si>
  <si>
    <t>企业所得税合计</t>
  </si>
  <si>
    <t>2221050000</t>
  </si>
  <si>
    <t>城镇土地使用税</t>
  </si>
  <si>
    <t>县城、建制镇、工矿区</t>
  </si>
  <si>
    <t>建设用地面积</t>
  </si>
  <si>
    <r>
      <rPr>
        <b/>
        <sz val="11"/>
        <color rgb="FF000000"/>
        <rFont val="Arial"/>
        <family val="2"/>
      </rPr>
      <t>5</t>
    </r>
    <r>
      <rPr>
        <b/>
        <sz val="11"/>
        <color rgb="FF000000"/>
        <rFont val="宋体"/>
        <family val="3"/>
        <charset val="134"/>
      </rPr>
      <t>月、</t>
    </r>
    <r>
      <rPr>
        <b/>
        <sz val="11"/>
        <color rgb="FF000000"/>
        <rFont val="Arial"/>
        <family val="2"/>
      </rPr>
      <t>11</t>
    </r>
    <r>
      <rPr>
        <b/>
        <sz val="11"/>
        <color rgb="FF000000"/>
        <rFont val="宋体"/>
        <family val="3"/>
        <charset val="134"/>
      </rPr>
      <t>月缴纳</t>
    </r>
  </si>
  <si>
    <t>61408220000001</t>
  </si>
  <si>
    <r>
      <rPr>
        <b/>
        <sz val="11"/>
        <rFont val="宋体"/>
        <family val="3"/>
        <charset val="134"/>
      </rPr>
      <t>房产税</t>
    </r>
  </si>
  <si>
    <r>
      <rPr>
        <b/>
        <sz val="11"/>
        <rFont val="宋体"/>
        <family val="3"/>
        <charset val="134"/>
      </rPr>
      <t>从价计征</t>
    </r>
  </si>
  <si>
    <t>房产原值</t>
  </si>
  <si>
    <t>61409210000000</t>
  </si>
  <si>
    <t>个人所得税</t>
  </si>
  <si>
    <t>实发工资</t>
  </si>
  <si>
    <t>劳务报酬所得</t>
  </si>
  <si>
    <t>劳务报酬所得（倒算）</t>
  </si>
  <si>
    <t>财产租赁所得</t>
  </si>
  <si>
    <t>财产租赁所得（倒算）</t>
  </si>
  <si>
    <t>代扣代缴个税</t>
  </si>
  <si>
    <t>水利建设专项收入</t>
  </si>
  <si>
    <t>地方水利建设基金</t>
  </si>
  <si>
    <t>耕地占用税</t>
  </si>
  <si>
    <t>林地、草地</t>
  </si>
  <si>
    <t>契税</t>
  </si>
  <si>
    <t>国有土地使用权出让（非居住用地）</t>
  </si>
  <si>
    <t>2月应申报合计</t>
  </si>
  <si>
    <t>发票清单</t>
  </si>
  <si>
    <t>纳税人识别号</t>
  </si>
  <si>
    <t>91150627MA7JDD6F4F</t>
  </si>
  <si>
    <t>税款所属期</t>
  </si>
  <si>
    <t>202502</t>
  </si>
  <si>
    <t>纳税人名称</t>
  </si>
  <si>
    <t>伊金霍洛旗悦盛新能源有限公司</t>
  </si>
  <si>
    <t>序号</t>
  </si>
  <si>
    <t>勾选状态</t>
  </si>
  <si>
    <t>发票来源</t>
  </si>
  <si>
    <t>转内销证明编号</t>
  </si>
  <si>
    <t>数电票号码</t>
  </si>
  <si>
    <t>发票代码</t>
  </si>
  <si>
    <t>发票号码</t>
  </si>
  <si>
    <t>开票日期</t>
  </si>
  <si>
    <t>销售方纳税人识别号</t>
  </si>
  <si>
    <t>销售方纳税人名称</t>
  </si>
  <si>
    <t>金额</t>
  </si>
  <si>
    <t>税额</t>
  </si>
  <si>
    <t>有效抵扣税额</t>
  </si>
  <si>
    <t>票种</t>
  </si>
  <si>
    <t>票种标签</t>
  </si>
  <si>
    <t>发票状态</t>
  </si>
  <si>
    <t>勾选时间</t>
  </si>
  <si>
    <t>发票风险等级</t>
  </si>
  <si>
    <t>风险状态</t>
  </si>
  <si>
    <t>1</t>
  </si>
  <si>
    <t>已勾选</t>
  </si>
  <si>
    <t>电子发票服务平台</t>
  </si>
  <si>
    <t>25342000000021849078</t>
  </si>
  <si>
    <t>2025-02-08 18:05:42</t>
  </si>
  <si>
    <t>91340700MA8PUEPEXD</t>
  </si>
  <si>
    <t>薪班班（安徽）网络科技有限公司</t>
  </si>
  <si>
    <t>数电票(增值税专用发票)</t>
  </si>
  <si>
    <t>增值税专用发票</t>
  </si>
  <si>
    <t>正常</t>
  </si>
  <si>
    <t>2025-03-10 14:11:27</t>
  </si>
  <si>
    <t>无风险</t>
  </si>
  <si>
    <t>25322000000073754460</t>
  </si>
  <si>
    <t>2025-02-20 09:44:50</t>
  </si>
  <si>
    <t>91320281673004487B</t>
  </si>
  <si>
    <t>远景能源有限公司</t>
  </si>
  <si>
    <t>3</t>
  </si>
  <si>
    <t>25322000000073656142</t>
  </si>
  <si>
    <t>2025-02-20 09:44:52</t>
  </si>
  <si>
    <t>4</t>
  </si>
  <si>
    <t>25322000000026461738</t>
  </si>
  <si>
    <t>2025-01-15 14:53:49</t>
  </si>
  <si>
    <t>5</t>
  </si>
  <si>
    <t>25322000000026402336</t>
  </si>
  <si>
    <t>2025-01-15 14:53:45</t>
  </si>
  <si>
    <t>6</t>
  </si>
  <si>
    <t>25312000000049452397</t>
  </si>
  <si>
    <t>2025-02-19 09:53:20</t>
  </si>
  <si>
    <t>91310230MA1JTEYM9N</t>
  </si>
  <si>
    <t>上海峙雄新能源科技有限公司</t>
  </si>
  <si>
    <t>7</t>
  </si>
  <si>
    <t>25312000000061175368</t>
  </si>
  <si>
    <t>2025-02-28 10:29:55</t>
  </si>
  <si>
    <t>91310105MA1FWAC869</t>
  </si>
  <si>
    <t>景泰新能源（上海）有限公司</t>
  </si>
  <si>
    <t>8</t>
  </si>
  <si>
    <t>25312000000061167362</t>
  </si>
  <si>
    <t>2025-02-28 10:27:06</t>
  </si>
  <si>
    <t>9</t>
  </si>
  <si>
    <t>25312000000061167361</t>
  </si>
  <si>
    <t>10</t>
  </si>
  <si>
    <t>增值税发票管理系统</t>
  </si>
  <si>
    <t>3100231130</t>
  </si>
  <si>
    <t>2025-01-21 16:56:22</t>
  </si>
  <si>
    <t>913100008322367537</t>
  </si>
  <si>
    <t>中国人民财产保险股份有限公司上海市分公司</t>
  </si>
  <si>
    <t>11</t>
  </si>
  <si>
    <t>1500231130</t>
  </si>
  <si>
    <t>2025-01-15 10:10:01</t>
  </si>
  <si>
    <t>91150691701494963W</t>
  </si>
  <si>
    <t>中国石油天然气股份有限公司内蒙古鄂尔多斯市销售分公司</t>
  </si>
  <si>
    <t>12</t>
  </si>
  <si>
    <t>25157000000018424917</t>
  </si>
  <si>
    <t>2025-02-10 18:17:05</t>
  </si>
  <si>
    <t>911506911169612847</t>
  </si>
  <si>
    <t>内蒙古电力（集团）有限责任公司鄂尔多斯供电分公司</t>
  </si>
  <si>
    <t>13</t>
  </si>
  <si>
    <t>25157000000018424916</t>
  </si>
  <si>
    <t>2025-02-10 18:14:31</t>
  </si>
  <si>
    <t>14</t>
  </si>
  <si>
    <t>25157000000018424906</t>
  </si>
  <si>
    <t>2025-02-10 18:07:48</t>
  </si>
  <si>
    <t>15</t>
  </si>
  <si>
    <t>25157000000018271151</t>
  </si>
  <si>
    <t>2025-02-07 14:46:54</t>
  </si>
  <si>
    <t>16</t>
  </si>
  <si>
    <t>25157000000018152762</t>
  </si>
  <si>
    <t>2025-02-07 14:46:08</t>
  </si>
  <si>
    <t>17</t>
  </si>
  <si>
    <t>1500221130</t>
  </si>
  <si>
    <t>2025-02-06 18:17:23</t>
  </si>
  <si>
    <t>91150600701412139Q</t>
  </si>
  <si>
    <t>中国移动通信集团内蒙古有限公司鄂尔多斯分公司</t>
  </si>
  <si>
    <t>18</t>
  </si>
  <si>
    <t>25112000000036466812</t>
  </si>
  <si>
    <t>2025-02-25 09:57:02</t>
  </si>
  <si>
    <t>91110105667530069X</t>
  </si>
  <si>
    <t>北京神州汽车租赁有限公司</t>
  </si>
  <si>
    <t>合计</t>
  </si>
  <si>
    <t>未开票金额</t>
  </si>
  <si>
    <t>当月开票金额</t>
  </si>
  <si>
    <t>以前月度开票金额</t>
  </si>
  <si>
    <t>当月利润表主营业务收入-光伏收入</t>
  </si>
  <si>
    <t>当月利润表主营业务收入-风电收入</t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</si>
  <si>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固定资产处置收入</t>
    </r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</si>
  <si>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财务费用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利息收入</t>
    </r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</si>
  <si>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其他收益</t>
    </r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</si>
  <si>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一般项目（光伏）</t>
    </r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</si>
  <si>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即征即退项目（风电）</t>
    </r>
  </si>
  <si>
    <t>预开票（未确认收入）-应交增值税</t>
  </si>
  <si>
    <r>
      <rPr>
        <sz val="9"/>
        <color theme="1"/>
        <rFont val="宋体"/>
        <family val="3"/>
        <charset val="134"/>
      </rPr>
      <t>增值税已认证</t>
    </r>
    <r>
      <rPr>
        <sz val="9"/>
        <color theme="1"/>
        <rFont val="等线"/>
        <family val="3"/>
        <charset val="134"/>
      </rPr>
      <t>进项税-一般项目（光伏）</t>
    </r>
  </si>
  <si>
    <r>
      <rPr>
        <sz val="9"/>
        <color theme="1"/>
        <rFont val="宋体"/>
        <family val="3"/>
        <charset val="134"/>
      </rPr>
      <t>增值税已认证</t>
    </r>
    <r>
      <rPr>
        <sz val="9"/>
        <color theme="1"/>
        <rFont val="等线"/>
        <family val="3"/>
        <charset val="134"/>
      </rPr>
      <t>进项税-即征即退项目（风电）</t>
    </r>
  </si>
  <si>
    <t>进项转出-一般</t>
  </si>
  <si>
    <t>进项转出-即征即退</t>
  </si>
  <si>
    <t>期初留抵进项税-一般项目（光伏）</t>
  </si>
  <si>
    <t>期初留抵进项税-即征即退项目（风电）</t>
  </si>
  <si>
    <t>期末留抵进项税-一般项目（光伏）</t>
  </si>
  <si>
    <t>期末留抵进项税-即征即退项目（风电）</t>
  </si>
  <si>
    <t>应交增值税-一般项目（光伏）</t>
  </si>
  <si>
    <t>应交增值税-即征即退项目（风电）</t>
  </si>
  <si>
    <t>所属期</t>
  </si>
  <si>
    <t>申报账面数</t>
  </si>
  <si>
    <t>开票数</t>
  </si>
  <si>
    <t>未开票数</t>
  </si>
  <si>
    <t>营业收入</t>
  </si>
  <si>
    <t>销项税额</t>
  </si>
  <si>
    <t>销售收入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</si>
  <si>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</si>
  <si>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</si>
  <si>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</si>
  <si>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</si>
  <si>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</si>
  <si>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</si>
  <si>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</si>
  <si>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</si>
  <si>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</si>
  <si>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</si>
  <si>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</si>
  <si>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</si>
  <si>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合计数</t>
  </si>
  <si>
    <t>申报税费汇总表</t>
  </si>
  <si>
    <t>残疾人保证金</t>
  </si>
  <si>
    <t>单位：元</t>
  </si>
  <si>
    <t>所得税</t>
  </si>
  <si>
    <t>增值税</t>
  </si>
  <si>
    <t>增值税附加税</t>
  </si>
  <si>
    <t>印花税</t>
  </si>
  <si>
    <t>工会经费</t>
  </si>
  <si>
    <t>房产税</t>
  </si>
  <si>
    <t>土地使用税</t>
  </si>
  <si>
    <t>垃圾费</t>
  </si>
  <si>
    <t>水利基金</t>
  </si>
  <si>
    <t>滞纳金</t>
  </si>
  <si>
    <t>税款合计</t>
  </si>
  <si>
    <t>实缴税费汇总表</t>
  </si>
  <si>
    <t>实缴税金</t>
  </si>
  <si>
    <t>申请税金</t>
  </si>
  <si>
    <t>差异</t>
  </si>
  <si>
    <t>原因</t>
  </si>
  <si>
    <t>当期</t>
    <phoneticPr fontId="64" type="noConversion"/>
  </si>
  <si>
    <t>上月末</t>
    <phoneticPr fontId="64" type="noConversion"/>
  </si>
  <si>
    <t>本月末</t>
    <phoneticPr fontId="64" type="noConversion"/>
  </si>
  <si>
    <t xml:space="preserve">在前序税务台账此页的基础上新增本次台账期数据
取本台账期【PL表】主营业收入 行的本期发生额 </t>
    <phoneticPr fontId="64" type="noConversion"/>
  </si>
  <si>
    <t>默认空</t>
    <phoneticPr fontId="64" type="noConversion"/>
  </si>
  <si>
    <t>在前序税务台账此页的基础上新增本次台账期数据
取本台账期【销项明细】货币金额字段合计*-1</t>
    <phoneticPr fontId="64" type="noConversion"/>
  </si>
  <si>
    <t>在前序税务台账此页的基础上新增本次台账期数据
取本台账期【增值税销项表-按税率（征收率）统计表】合计行实际开具发票金额</t>
    <phoneticPr fontId="64" type="noConversion"/>
  </si>
  <si>
    <t>在前序税务台账此页的基础上新增本次台账期数据
取本台账期【增值税销项表-按税率（征收率）统计表】合计行实际开具发票税额</t>
    <phoneticPr fontId="64" type="noConversion"/>
  </si>
  <si>
    <t>=E列-F列</t>
    <phoneticPr fontId="64" type="noConversion"/>
  </si>
  <si>
    <t>=B列+C列+D列-F列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</si>
</sst>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76" formatCode="_-* #,##0_-;\-* #,##0_-;_-* &quot;-&quot;_-;_-@_-"/>
    <numFmt numFmtId="177" formatCode="yyyy&quot;年&quot;m&quot;月&quot;;@"/>
    <numFmt numFmtId="178" formatCode="0.00_ "/>
    <numFmt numFmtId="179" formatCode="_(* #,##0.00_);_(* \(#,##0.00\);_(* &quot;-&quot;??_);_(@_)"/>
    <numFmt numFmtId="180" formatCode="0.00_);[Red]\(0.00\)"/>
    <numFmt numFmtId="181" formatCode="#,##0.00_ "/>
    <numFmt numFmtId="182" formatCode="[$-F800]dddd\,\ mmmm\ dd\,\ yyyy"/>
    <numFmt numFmtId="183" formatCode="0.000%"/>
    <numFmt numFmtId="184" formatCode="#,##0.000"/>
    <numFmt numFmtId="185" formatCode="0.0%"/>
    <numFmt numFmtId="186" formatCode="_(\¥* #,##0.00_);_(\¥* \(#,##0.00\);_(\¥* &quot;-&quot;??_);_(@_)"/>
    <numFmt numFmtId="187" formatCode="_ \¥* #,##0.00_ ;_ \¥* \-#,##0.00_ ;_ \¥* &quot;-&quot;??_ ;_ @_ "/>
    <numFmt numFmtId="188" formatCode="#,##0.00_);\(#,##0.00\)"/>
    <numFmt numFmtId="189" formatCode="#,##0.00_ ;[Red]\-#,##0.00\ "/>
  </numFmts>
  <fonts count="65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1F497D"/>
      <name val="微软雅黑"/>
      <family val="2"/>
      <charset val="134"/>
    </font>
    <font>
      <sz val="10"/>
      <color rgb="FF1F497D"/>
      <name val="Times New Roman"/>
      <family val="1"/>
    </font>
    <font>
      <sz val="10"/>
      <color rgb="FF1F497D"/>
      <name val="等线"/>
      <family val="3"/>
      <charset val="134"/>
      <scheme val="minor"/>
    </font>
    <font>
      <b/>
      <sz val="10"/>
      <color rgb="FF1F497D"/>
      <name val="Times New Roman"/>
      <family val="1"/>
    </font>
    <font>
      <b/>
      <sz val="10"/>
      <color rgb="FF1F497D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"/>
      <color theme="1"/>
      <name val="Arial"/>
      <family val="2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等线"/>
      <family val="3"/>
      <charset val="134"/>
    </font>
    <font>
      <b/>
      <sz val="14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b/>
      <i/>
      <sz val="24"/>
      <color theme="1"/>
      <name val="宋体"/>
      <family val="3"/>
      <charset val="134"/>
    </font>
    <font>
      <b/>
      <sz val="24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宋体"/>
      <family val="3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b/>
      <sz val="11"/>
      <name val="Arial"/>
      <family val="2"/>
    </font>
    <font>
      <sz val="11"/>
      <color rgb="FF000000"/>
      <name val="微软雅黑"/>
      <family val="2"/>
      <charset val="134"/>
    </font>
    <font>
      <sz val="11"/>
      <name val="Arial"/>
      <family val="2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rial"/>
      <family val="2"/>
    </font>
    <font>
      <i/>
      <sz val="11"/>
      <name val="Arial"/>
      <family val="2"/>
    </font>
    <font>
      <b/>
      <i/>
      <sz val="11"/>
      <color theme="0"/>
      <name val="Arial"/>
      <family val="2"/>
    </font>
    <font>
      <b/>
      <sz val="11"/>
      <color rgb="FFFF0000"/>
      <name val="宋体"/>
      <family val="3"/>
      <charset val="134"/>
    </font>
    <font>
      <b/>
      <sz val="12"/>
      <color rgb="FFFF0000"/>
      <name val="楷体"/>
      <family val="3"/>
      <charset val="134"/>
    </font>
    <font>
      <i/>
      <sz val="11"/>
      <color rgb="FF000000"/>
      <name val="Arial"/>
      <family val="2"/>
    </font>
    <font>
      <b/>
      <sz val="10"/>
      <name val="微软雅黑"/>
      <family val="2"/>
      <charset val="134"/>
    </font>
    <font>
      <sz val="11"/>
      <color rgb="FF000000"/>
      <name val="Calibri"/>
      <family val="2"/>
    </font>
    <font>
      <b/>
      <sz val="9.9499999999999993"/>
      <color rgb="FF000000"/>
      <name val="微软雅黑"/>
      <family val="2"/>
      <charset val="134"/>
    </font>
    <font>
      <sz val="9.9499999999999993"/>
      <color rgb="FF000000"/>
      <name val="微软雅黑"/>
      <family val="2"/>
      <charset val="134"/>
    </font>
    <font>
      <sz val="9.9499999999999993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name val="돋움체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Arial"/>
      <family val="2"/>
    </font>
    <font>
      <b/>
      <sz val="11"/>
      <color theme="0"/>
      <name val="等线"/>
      <family val="3"/>
      <charset val="134"/>
    </font>
    <font>
      <b/>
      <sz val="11"/>
      <color indexed="9"/>
      <name val="Arial"/>
      <family val="2"/>
    </font>
    <font>
      <i/>
      <sz val="11"/>
      <name val="宋体"/>
      <family val="3"/>
      <charset val="134"/>
    </font>
    <font>
      <sz val="11"/>
      <color rgb="FF000000"/>
      <name val="Arial Unicode MS"/>
      <family val="2"/>
    </font>
    <font>
      <b/>
      <sz val="1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DFABB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896847437971128"/>
        <bgColor indexed="64"/>
      </patternFill>
    </fill>
    <fill>
      <patternFill patternType="solid">
        <fgColor theme="7" tint="0.39918210394604325"/>
        <bgColor indexed="64"/>
      </patternFill>
    </fill>
    <fill>
      <patternFill patternType="solid">
        <fgColor theme="7" tint="0.3988158818323313"/>
        <bgColor indexed="64"/>
      </patternFill>
    </fill>
    <fill>
      <patternFill patternType="solid">
        <fgColor theme="9" tint="0.39890743736075929"/>
        <bgColor indexed="64"/>
      </patternFill>
    </fill>
    <fill>
      <patternFill patternType="solid">
        <fgColor theme="8" tint="0.3989074373607592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theme="7" tint="0.398907437360759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8">
    <xf numFmtId="0" fontId="0" fillId="0" borderId="0"/>
    <xf numFmtId="9" fontId="50" fillId="0" borderId="0" applyFont="0" applyFill="0" applyBorder="0" applyAlignment="0" applyProtection="0">
      <alignment vertical="center"/>
    </xf>
    <xf numFmtId="17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17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176" fontId="51" fillId="0" borderId="0" applyFont="0" applyFill="0" applyBorder="0" applyAlignment="0" applyProtection="0"/>
    <xf numFmtId="0" fontId="51" fillId="0" borderId="0"/>
    <xf numFmtId="0" fontId="50" fillId="0" borderId="0"/>
    <xf numFmtId="0" fontId="50" fillId="0" borderId="0"/>
    <xf numFmtId="179" fontId="52" fillId="0" borderId="0" applyFont="0" applyFill="0" applyBorder="0" applyAlignment="0" applyProtection="0"/>
    <xf numFmtId="0" fontId="53" fillId="0" borderId="0"/>
    <xf numFmtId="0" fontId="53" fillId="0" borderId="0"/>
    <xf numFmtId="0" fontId="17" fillId="0" borderId="0">
      <alignment vertical="center"/>
    </xf>
    <xf numFmtId="179" fontId="50" fillId="0" borderId="0" applyFont="0" applyFill="0" applyBorder="0" applyAlignment="0" applyProtection="0">
      <alignment vertical="center"/>
    </xf>
    <xf numFmtId="0" fontId="50" fillId="0" borderId="0"/>
    <xf numFmtId="179" fontId="50" fillId="0" borderId="0" applyFont="0" applyFill="0" applyBorder="0" applyAlignment="0" applyProtection="0">
      <alignment vertical="center"/>
    </xf>
    <xf numFmtId="0" fontId="17" fillId="0" borderId="0">
      <alignment vertical="center"/>
    </xf>
  </cellStyleXfs>
  <cellXfs count="316">
    <xf numFmtId="0" fontId="0" fillId="0" borderId="0" xfId="0"/>
    <xf numFmtId="0" fontId="1" fillId="0" borderId="0" xfId="13" applyFont="1" applyAlignment="1"/>
    <xf numFmtId="0" fontId="2" fillId="0" borderId="0" xfId="13" applyFont="1" applyAlignment="1">
      <alignment horizontal="center" vertical="center" wrapText="1"/>
    </xf>
    <xf numFmtId="0" fontId="3" fillId="0" borderId="3" xfId="13" applyFont="1" applyBorder="1" applyAlignment="1">
      <alignment horizontal="center" vertical="center" wrapText="1"/>
    </xf>
    <xf numFmtId="0" fontId="3" fillId="0" borderId="3" xfId="13" applyFont="1" applyBorder="1" applyAlignment="1">
      <alignment horizontal="center" vertical="center"/>
    </xf>
    <xf numFmtId="177" fontId="3" fillId="0" borderId="3" xfId="13" applyNumberFormat="1" applyFont="1" applyBorder="1" applyAlignment="1">
      <alignment horizontal="center" vertical="center" wrapText="1"/>
    </xf>
    <xf numFmtId="179" fontId="4" fillId="0" borderId="3" xfId="16" applyFont="1" applyFill="1" applyBorder="1" applyAlignment="1">
      <alignment horizontal="right" vertical="center"/>
    </xf>
    <xf numFmtId="179" fontId="4" fillId="0" borderId="3" xfId="16" applyFont="1" applyBorder="1" applyAlignment="1">
      <alignment horizontal="right" vertical="center"/>
    </xf>
    <xf numFmtId="179" fontId="4" fillId="0" borderId="4" xfId="16" applyFont="1" applyFill="1" applyBorder="1" applyAlignment="1">
      <alignment horizontal="right" vertical="center"/>
    </xf>
    <xf numFmtId="0" fontId="1" fillId="0" borderId="0" xfId="13" applyFont="1" applyAlignment="1">
      <alignment horizontal="right" vertical="center" wrapText="1"/>
    </xf>
    <xf numFmtId="179" fontId="3" fillId="0" borderId="3" xfId="16" applyFont="1" applyFill="1" applyBorder="1" applyAlignment="1">
      <alignment horizontal="center" vertical="center"/>
    </xf>
    <xf numFmtId="179" fontId="5" fillId="0" borderId="3" xfId="16" applyFont="1" applyFill="1" applyBorder="1" applyAlignment="1">
      <alignment horizontal="right" vertical="center"/>
    </xf>
    <xf numFmtId="0" fontId="1" fillId="0" borderId="0" xfId="13" applyFont="1" applyAlignment="1">
      <alignment horizontal="left"/>
    </xf>
    <xf numFmtId="179" fontId="6" fillId="0" borderId="3" xfId="16" applyFont="1" applyFill="1" applyBorder="1" applyAlignment="1">
      <alignment horizontal="right" vertical="center"/>
    </xf>
    <xf numFmtId="179" fontId="7" fillId="0" borderId="3" xfId="16" applyFont="1" applyFill="1" applyBorder="1" applyAlignment="1">
      <alignment horizontal="left" vertical="center"/>
    </xf>
    <xf numFmtId="179" fontId="8" fillId="0" borderId="3" xfId="16" applyFont="1" applyFill="1" applyBorder="1" applyAlignment="1">
      <alignment horizontal="right" vertical="center"/>
    </xf>
    <xf numFmtId="179" fontId="9" fillId="0" borderId="3" xfId="16" applyFont="1" applyFill="1" applyBorder="1" applyAlignment="1">
      <alignment horizontal="right" vertical="center"/>
    </xf>
    <xf numFmtId="180" fontId="3" fillId="0" borderId="3" xfId="13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3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179" fontId="0" fillId="0" borderId="0" xfId="0" applyNumberFormat="1"/>
    <xf numFmtId="43" fontId="0" fillId="0" borderId="3" xfId="0" applyNumberForma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3" fontId="0" fillId="0" borderId="0" xfId="0" applyNumberFormat="1"/>
    <xf numFmtId="4" fontId="0" fillId="0" borderId="0" xfId="0" applyNumberFormat="1" applyAlignment="1">
      <alignment vertical="center"/>
    </xf>
    <xf numFmtId="0" fontId="0" fillId="0" borderId="3" xfId="0" applyBorder="1" applyAlignment="1">
      <alignment vertical="center"/>
    </xf>
    <xf numFmtId="179" fontId="0" fillId="0" borderId="3" xfId="2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3" fontId="0" fillId="0" borderId="9" xfId="0" applyNumberForma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3" fontId="0" fillId="0" borderId="11" xfId="0" applyNumberFormat="1" applyBorder="1" applyAlignment="1">
      <alignment horizontal="center" vertical="center"/>
    </xf>
    <xf numFmtId="43" fontId="0" fillId="0" borderId="12" xfId="0" applyNumberFormat="1" applyBorder="1" applyAlignment="1">
      <alignment horizontal="center" vertical="center"/>
    </xf>
    <xf numFmtId="179" fontId="0" fillId="0" borderId="0" xfId="2" applyFont="1" applyAlignment="1"/>
    <xf numFmtId="0" fontId="12" fillId="0" borderId="3" xfId="0" applyFont="1" applyBorder="1"/>
    <xf numFmtId="179" fontId="13" fillId="0" borderId="3" xfId="2" applyFont="1" applyBorder="1" applyAlignment="1">
      <alignment horizontal="center"/>
    </xf>
    <xf numFmtId="179" fontId="13" fillId="0" borderId="3" xfId="2" applyFont="1" applyFill="1" applyBorder="1" applyAlignment="1">
      <alignment horizontal="center"/>
    </xf>
    <xf numFmtId="0" fontId="14" fillId="0" borderId="3" xfId="0" applyFont="1" applyBorder="1" applyAlignment="1">
      <alignment horizontal="left"/>
    </xf>
    <xf numFmtId="179" fontId="12" fillId="0" borderId="13" xfId="2" applyFont="1" applyBorder="1" applyAlignment="1">
      <alignment horizontal="right"/>
    </xf>
    <xf numFmtId="179" fontId="0" fillId="0" borderId="13" xfId="2" applyFont="1" applyBorder="1" applyAlignment="1"/>
    <xf numFmtId="179" fontId="12" fillId="0" borderId="3" xfId="2" applyFont="1" applyFill="1" applyBorder="1" applyAlignment="1">
      <alignment horizontal="right"/>
    </xf>
    <xf numFmtId="0" fontId="12" fillId="0" borderId="3" xfId="0" applyFont="1" applyBorder="1" applyAlignment="1">
      <alignment horizontal="left"/>
    </xf>
    <xf numFmtId="179" fontId="14" fillId="0" borderId="3" xfId="2" applyFont="1" applyBorder="1" applyAlignment="1">
      <alignment horizontal="right"/>
    </xf>
    <xf numFmtId="179" fontId="0" fillId="0" borderId="3" xfId="2" applyFont="1" applyBorder="1" applyAlignment="1"/>
    <xf numFmtId="179" fontId="12" fillId="0" borderId="3" xfId="2" applyFont="1" applyBorder="1" applyAlignment="1">
      <alignment horizontal="right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left"/>
    </xf>
    <xf numFmtId="179" fontId="12" fillId="3" borderId="3" xfId="2" applyFont="1" applyFill="1" applyBorder="1" applyAlignment="1">
      <alignment horizontal="right"/>
    </xf>
    <xf numFmtId="178" fontId="0" fillId="0" borderId="0" xfId="0" applyNumberFormat="1"/>
    <xf numFmtId="0" fontId="16" fillId="4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8" fillId="0" borderId="0" xfId="0" applyFont="1"/>
    <xf numFmtId="0" fontId="17" fillId="0" borderId="0" xfId="17">
      <alignment vertical="center"/>
    </xf>
    <xf numFmtId="0" fontId="18" fillId="0" borderId="0" xfId="17" applyFont="1" applyAlignment="1"/>
    <xf numFmtId="179" fontId="0" fillId="3" borderId="0" xfId="2" applyFont="1" applyFill="1" applyAlignment="1">
      <alignment vertical="center"/>
    </xf>
    <xf numFmtId="179" fontId="17" fillId="0" borderId="0" xfId="2" applyFont="1">
      <alignment vertical="center"/>
    </xf>
    <xf numFmtId="0" fontId="10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82" fontId="20" fillId="0" borderId="16" xfId="0" applyNumberFormat="1" applyFont="1" applyBorder="1" applyAlignment="1">
      <alignment horizontal="center" vertical="center"/>
    </xf>
    <xf numFmtId="179" fontId="23" fillId="5" borderId="18" xfId="2" applyFont="1" applyFill="1" applyBorder="1" applyAlignment="1">
      <alignment horizontal="center" vertical="center"/>
    </xf>
    <xf numFmtId="179" fontId="23" fillId="5" borderId="13" xfId="2" applyFont="1" applyFill="1" applyBorder="1" applyAlignment="1">
      <alignment horizontal="center" vertical="center"/>
    </xf>
    <xf numFmtId="179" fontId="23" fillId="5" borderId="13" xfId="2" applyFont="1" applyFill="1" applyBorder="1" applyAlignment="1">
      <alignment horizontal="center" vertical="center" wrapText="1"/>
    </xf>
    <xf numFmtId="179" fontId="24" fillId="5" borderId="13" xfId="2" applyFont="1" applyFill="1" applyBorder="1" applyAlignment="1">
      <alignment horizontal="center" vertical="center"/>
    </xf>
    <xf numFmtId="179" fontId="25" fillId="0" borderId="3" xfId="2" applyFont="1" applyFill="1" applyBorder="1" applyAlignment="1">
      <alignment horizontal="left" vertical="center"/>
    </xf>
    <xf numFmtId="179" fontId="27" fillId="0" borderId="20" xfId="2" applyFont="1" applyBorder="1" applyAlignment="1">
      <alignment horizontal="center" vertical="center"/>
    </xf>
    <xf numFmtId="40" fontId="25" fillId="0" borderId="3" xfId="2" applyNumberFormat="1" applyFont="1" applyFill="1" applyBorder="1" applyAlignment="1">
      <alignment horizontal="center" vertical="center"/>
    </xf>
    <xf numFmtId="9" fontId="25" fillId="0" borderId="3" xfId="3" applyFont="1" applyBorder="1" applyAlignment="1">
      <alignment horizontal="center" vertical="center"/>
    </xf>
    <xf numFmtId="183" fontId="25" fillId="0" borderId="3" xfId="3" applyNumberFormat="1" applyFont="1" applyFill="1" applyBorder="1" applyAlignment="1">
      <alignment horizontal="center" vertical="center"/>
    </xf>
    <xf numFmtId="179" fontId="25" fillId="0" borderId="3" xfId="2" applyFont="1" applyBorder="1" applyAlignment="1">
      <alignment horizontal="left" vertical="center"/>
    </xf>
    <xf numFmtId="40" fontId="25" fillId="0" borderId="3" xfId="2" applyNumberFormat="1" applyFont="1" applyBorder="1" applyAlignment="1">
      <alignment horizontal="center" vertical="center"/>
    </xf>
    <xf numFmtId="9" fontId="25" fillId="0" borderId="3" xfId="3" applyFont="1" applyFill="1" applyBorder="1" applyAlignment="1">
      <alignment horizontal="center" vertical="center"/>
    </xf>
    <xf numFmtId="179" fontId="27" fillId="0" borderId="3" xfId="2" applyFont="1" applyBorder="1" applyAlignment="1">
      <alignment horizontal="left" vertical="center"/>
    </xf>
    <xf numFmtId="0" fontId="28" fillId="6" borderId="7" xfId="0" applyFont="1" applyFill="1" applyBorder="1" applyAlignment="1">
      <alignment horizontal="center" vertical="center"/>
    </xf>
    <xf numFmtId="179" fontId="28" fillId="6" borderId="3" xfId="2" applyFont="1" applyFill="1" applyBorder="1" applyAlignment="1">
      <alignment horizontal="center" vertical="center"/>
    </xf>
    <xf numFmtId="2" fontId="28" fillId="6" borderId="3" xfId="0" applyNumberFormat="1" applyFont="1" applyFill="1" applyBorder="1" applyAlignment="1">
      <alignment horizontal="center" vertical="center"/>
    </xf>
    <xf numFmtId="40" fontId="28" fillId="6" borderId="3" xfId="2" applyNumberFormat="1" applyFont="1" applyFill="1" applyBorder="1" applyAlignment="1">
      <alignment horizontal="center" vertical="center"/>
    </xf>
    <xf numFmtId="10" fontId="28" fillId="6" borderId="3" xfId="3" applyNumberFormat="1" applyFont="1" applyFill="1" applyBorder="1" applyAlignment="1">
      <alignment horizontal="center" vertical="center"/>
    </xf>
    <xf numFmtId="179" fontId="29" fillId="7" borderId="3" xfId="2" applyFont="1" applyFill="1" applyBorder="1" applyAlignment="1">
      <alignment horizontal="center" vertical="center"/>
    </xf>
    <xf numFmtId="179" fontId="25" fillId="7" borderId="3" xfId="2" applyFont="1" applyFill="1" applyBorder="1" applyAlignment="1">
      <alignment horizontal="center" vertical="center"/>
    </xf>
    <xf numFmtId="40" fontId="30" fillId="7" borderId="3" xfId="2" applyNumberFormat="1" applyFont="1" applyFill="1" applyBorder="1" applyAlignment="1">
      <alignment horizontal="center" vertical="center"/>
    </xf>
    <xf numFmtId="9" fontId="25" fillId="7" borderId="3" xfId="3" applyFont="1" applyFill="1" applyBorder="1" applyAlignment="1">
      <alignment horizontal="center" vertical="center"/>
    </xf>
    <xf numFmtId="40" fontId="25" fillId="7" borderId="3" xfId="2" applyNumberFormat="1" applyFont="1" applyFill="1" applyBorder="1" applyAlignment="1">
      <alignment horizontal="center" vertical="center"/>
    </xf>
    <xf numFmtId="179" fontId="25" fillId="0" borderId="3" xfId="2" applyFont="1" applyFill="1" applyBorder="1" applyAlignment="1">
      <alignment horizontal="center" vertical="center"/>
    </xf>
    <xf numFmtId="179" fontId="25" fillId="0" borderId="3" xfId="2" applyFont="1" applyBorder="1" applyAlignment="1">
      <alignment horizontal="center" vertical="center"/>
    </xf>
    <xf numFmtId="40" fontId="27" fillId="0" borderId="3" xfId="2" applyNumberFormat="1" applyFont="1" applyFill="1" applyBorder="1" applyAlignment="1">
      <alignment horizontal="center" vertical="center"/>
    </xf>
    <xf numFmtId="40" fontId="30" fillId="0" borderId="3" xfId="2" applyNumberFormat="1" applyFont="1" applyFill="1" applyBorder="1" applyAlignment="1">
      <alignment horizontal="center" vertical="center"/>
    </xf>
    <xf numFmtId="179" fontId="27" fillId="0" borderId="3" xfId="2" applyFont="1" applyFill="1" applyBorder="1" applyAlignment="1">
      <alignment horizontal="center" vertical="center"/>
    </xf>
    <xf numFmtId="38" fontId="28" fillId="8" borderId="7" xfId="2" applyNumberFormat="1" applyFont="1" applyFill="1" applyBorder="1" applyAlignment="1">
      <alignment horizontal="center" vertical="center"/>
    </xf>
    <xf numFmtId="179" fontId="28" fillId="8" borderId="3" xfId="2" applyFont="1" applyFill="1" applyBorder="1" applyAlignment="1">
      <alignment horizontal="center" vertical="center"/>
    </xf>
    <xf numFmtId="2" fontId="28" fillId="8" borderId="3" xfId="0" applyNumberFormat="1" applyFont="1" applyFill="1" applyBorder="1" applyAlignment="1">
      <alignment horizontal="center" vertical="center"/>
    </xf>
    <xf numFmtId="40" fontId="28" fillId="8" borderId="3" xfId="2" applyNumberFormat="1" applyFont="1" applyFill="1" applyBorder="1" applyAlignment="1">
      <alignment horizontal="center" vertical="center"/>
    </xf>
    <xf numFmtId="9" fontId="28" fillId="8" borderId="3" xfId="3" applyFont="1" applyFill="1" applyBorder="1" applyAlignment="1">
      <alignment horizontal="center" vertical="center"/>
    </xf>
    <xf numFmtId="179" fontId="31" fillId="2" borderId="3" xfId="2" applyFont="1" applyFill="1" applyBorder="1" applyAlignment="1">
      <alignment horizontal="center" vertical="center"/>
    </xf>
    <xf numFmtId="40" fontId="28" fillId="2" borderId="3" xfId="2" applyNumberFormat="1" applyFont="1" applyFill="1" applyBorder="1" applyAlignment="1">
      <alignment horizontal="center" vertical="center"/>
    </xf>
    <xf numFmtId="9" fontId="28" fillId="2" borderId="3" xfId="0" applyNumberFormat="1" applyFont="1" applyFill="1" applyBorder="1" applyAlignment="1">
      <alignment horizontal="center" vertical="center"/>
    </xf>
    <xf numFmtId="9" fontId="28" fillId="2" borderId="3" xfId="3" applyFont="1" applyFill="1" applyBorder="1" applyAlignment="1">
      <alignment horizontal="center" vertical="center"/>
    </xf>
    <xf numFmtId="179" fontId="32" fillId="2" borderId="3" xfId="2" applyFont="1" applyFill="1" applyBorder="1" applyAlignment="1">
      <alignment horizontal="center" vertical="center"/>
    </xf>
    <xf numFmtId="40" fontId="30" fillId="2" borderId="3" xfId="2" applyNumberFormat="1" applyFont="1" applyFill="1" applyBorder="1" applyAlignment="1">
      <alignment horizontal="center" vertical="center"/>
    </xf>
    <xf numFmtId="10" fontId="30" fillId="2" borderId="3" xfId="3" applyNumberFormat="1" applyFont="1" applyFill="1" applyBorder="1" applyAlignment="1">
      <alignment horizontal="center" vertical="center"/>
    </xf>
    <xf numFmtId="179" fontId="30" fillId="2" borderId="3" xfId="2" applyFont="1" applyFill="1" applyBorder="1" applyAlignment="1">
      <alignment horizontal="center" vertical="center"/>
    </xf>
    <xf numFmtId="38" fontId="28" fillId="9" borderId="7" xfId="2" applyNumberFormat="1" applyFont="1" applyFill="1" applyBorder="1" applyAlignment="1">
      <alignment horizontal="center" vertical="center"/>
    </xf>
    <xf numFmtId="179" fontId="31" fillId="10" borderId="3" xfId="2" applyFont="1" applyFill="1" applyBorder="1" applyAlignment="1">
      <alignment horizontal="center" vertical="center"/>
    </xf>
    <xf numFmtId="40" fontId="28" fillId="10" borderId="3" xfId="2" applyNumberFormat="1" applyFont="1" applyFill="1" applyBorder="1" applyAlignment="1">
      <alignment horizontal="center" vertical="center"/>
    </xf>
    <xf numFmtId="9" fontId="28" fillId="10" borderId="3" xfId="0" applyNumberFormat="1" applyFont="1" applyFill="1" applyBorder="1" applyAlignment="1">
      <alignment horizontal="center" vertical="center"/>
    </xf>
    <xf numFmtId="179" fontId="28" fillId="10" borderId="3" xfId="3" applyNumberFormat="1" applyFont="1" applyFill="1" applyBorder="1" applyAlignment="1">
      <alignment horizontal="center" vertical="center"/>
    </xf>
    <xf numFmtId="38" fontId="26" fillId="11" borderId="7" xfId="2" applyNumberFormat="1" applyFont="1" applyFill="1" applyBorder="1" applyAlignment="1">
      <alignment horizontal="center" vertical="center"/>
    </xf>
    <xf numFmtId="179" fontId="33" fillId="11" borderId="3" xfId="2" applyFont="1" applyFill="1" applyBorder="1" applyAlignment="1">
      <alignment horizontal="center" vertical="center"/>
    </xf>
    <xf numFmtId="179" fontId="33" fillId="11" borderId="3" xfId="2" applyFont="1" applyFill="1" applyBorder="1" applyAlignment="1">
      <alignment horizontal="center" vertical="center" wrapText="1"/>
    </xf>
    <xf numFmtId="40" fontId="26" fillId="11" borderId="3" xfId="2" applyNumberFormat="1" applyFont="1" applyFill="1" applyBorder="1" applyAlignment="1">
      <alignment horizontal="center" vertical="center"/>
    </xf>
    <xf numFmtId="179" fontId="26" fillId="11" borderId="3" xfId="2" applyFont="1" applyFill="1" applyBorder="1" applyAlignment="1">
      <alignment horizontal="center" vertical="center" wrapText="1"/>
    </xf>
    <xf numFmtId="180" fontId="26" fillId="11" borderId="3" xfId="3" applyNumberFormat="1" applyFont="1" applyFill="1" applyBorder="1" applyAlignment="1">
      <alignment horizontal="center" vertical="center"/>
    </xf>
    <xf numFmtId="38" fontId="28" fillId="12" borderId="7" xfId="2" applyNumberFormat="1" applyFont="1" applyFill="1" applyBorder="1" applyAlignment="1">
      <alignment horizontal="center" vertical="center"/>
    </xf>
    <xf numFmtId="179" fontId="28" fillId="12" borderId="3" xfId="2" applyFont="1" applyFill="1" applyBorder="1" applyAlignment="1">
      <alignment horizontal="center" vertical="center"/>
    </xf>
    <xf numFmtId="179" fontId="31" fillId="12" borderId="3" xfId="2" applyFont="1" applyFill="1" applyBorder="1" applyAlignment="1">
      <alignment horizontal="center" vertical="center" wrapText="1"/>
    </xf>
    <xf numFmtId="40" fontId="28" fillId="12" borderId="3" xfId="2" applyNumberFormat="1" applyFont="1" applyFill="1" applyBorder="1" applyAlignment="1">
      <alignment horizontal="center" vertical="center"/>
    </xf>
    <xf numFmtId="179" fontId="28" fillId="12" borderId="3" xfId="2" applyFont="1" applyFill="1" applyBorder="1" applyAlignment="1">
      <alignment horizontal="center" vertical="center" wrapText="1"/>
    </xf>
    <xf numFmtId="185" fontId="28" fillId="12" borderId="3" xfId="3" applyNumberFormat="1" applyFont="1" applyFill="1" applyBorder="1" applyAlignment="1">
      <alignment horizontal="center" vertical="center"/>
    </xf>
    <xf numFmtId="179" fontId="28" fillId="0" borderId="3" xfId="2" applyFont="1" applyFill="1" applyBorder="1" applyAlignment="1">
      <alignment horizontal="center" vertical="center"/>
    </xf>
    <xf numFmtId="179" fontId="31" fillId="0" borderId="3" xfId="2" applyFont="1" applyFill="1" applyBorder="1" applyAlignment="1">
      <alignment horizontal="center" vertical="center"/>
    </xf>
    <xf numFmtId="40" fontId="28" fillId="0" borderId="20" xfId="2" applyNumberFormat="1" applyFont="1" applyFill="1" applyBorder="1" applyAlignment="1">
      <alignment horizontal="center" vertical="center"/>
    </xf>
    <xf numFmtId="179" fontId="31" fillId="0" borderId="3" xfId="2" applyFont="1" applyFill="1" applyBorder="1" applyAlignment="1">
      <alignment horizontal="center" vertical="center" wrapText="1"/>
    </xf>
    <xf numFmtId="2" fontId="27" fillId="0" borderId="3" xfId="0" applyNumberFormat="1" applyFont="1" applyBorder="1" applyAlignment="1">
      <alignment horizontal="center" vertical="center" wrapText="1"/>
    </xf>
    <xf numFmtId="40" fontId="25" fillId="0" borderId="20" xfId="2" applyNumberFormat="1" applyFont="1" applyFill="1" applyBorder="1" applyAlignment="1">
      <alignment horizontal="center" vertical="center"/>
    </xf>
    <xf numFmtId="9" fontId="20" fillId="0" borderId="3" xfId="0" applyNumberFormat="1" applyFont="1" applyBorder="1" applyAlignment="1">
      <alignment horizontal="center" vertical="center"/>
    </xf>
    <xf numFmtId="179" fontId="27" fillId="0" borderId="20" xfId="2" applyFont="1" applyFill="1" applyBorder="1" applyAlignment="1">
      <alignment horizontal="center" vertical="center"/>
    </xf>
    <xf numFmtId="2" fontId="27" fillId="0" borderId="20" xfId="0" applyNumberFormat="1" applyFont="1" applyBorder="1" applyAlignment="1">
      <alignment horizontal="center" vertical="center" wrapText="1"/>
    </xf>
    <xf numFmtId="9" fontId="20" fillId="0" borderId="20" xfId="0" applyNumberFormat="1" applyFont="1" applyBorder="1" applyAlignment="1">
      <alignment horizontal="center" vertical="center"/>
    </xf>
    <xf numFmtId="9" fontId="25" fillId="0" borderId="20" xfId="3" applyFont="1" applyFill="1" applyBorder="1" applyAlignment="1">
      <alignment horizontal="center" vertical="center"/>
    </xf>
    <xf numFmtId="38" fontId="28" fillId="13" borderId="27" xfId="2" applyNumberFormat="1" applyFont="1" applyFill="1" applyBorder="1" applyAlignment="1">
      <alignment horizontal="center" vertical="center"/>
    </xf>
    <xf numFmtId="179" fontId="26" fillId="13" borderId="25" xfId="2" applyFont="1" applyFill="1" applyBorder="1" applyAlignment="1">
      <alignment horizontal="center" vertical="center"/>
    </xf>
    <xf numFmtId="179" fontId="33" fillId="13" borderId="20" xfId="2" applyFont="1" applyFill="1" applyBorder="1" applyAlignment="1">
      <alignment horizontal="center" vertical="center"/>
    </xf>
    <xf numFmtId="2" fontId="33" fillId="13" borderId="20" xfId="0" applyNumberFormat="1" applyFont="1" applyFill="1" applyBorder="1" applyAlignment="1">
      <alignment horizontal="center" vertical="center" wrapText="1"/>
    </xf>
    <xf numFmtId="40" fontId="26" fillId="13" borderId="20" xfId="2" applyNumberFormat="1" applyFont="1" applyFill="1" applyBorder="1" applyAlignment="1">
      <alignment horizontal="center" vertical="center"/>
    </xf>
    <xf numFmtId="9" fontId="34" fillId="13" borderId="20" xfId="0" applyNumberFormat="1" applyFont="1" applyFill="1" applyBorder="1" applyAlignment="1">
      <alignment horizontal="center" vertical="center"/>
    </xf>
    <xf numFmtId="9" fontId="26" fillId="13" borderId="20" xfId="3" applyFont="1" applyFill="1" applyBorder="1" applyAlignment="1">
      <alignment horizontal="center" vertical="center"/>
    </xf>
    <xf numFmtId="40" fontId="33" fillId="13" borderId="20" xfId="2" applyNumberFormat="1" applyFont="1" applyFill="1" applyBorder="1" applyAlignment="1">
      <alignment horizontal="center" vertical="center"/>
    </xf>
    <xf numFmtId="38" fontId="28" fillId="14" borderId="27" xfId="2" applyNumberFormat="1" applyFont="1" applyFill="1" applyBorder="1" applyAlignment="1">
      <alignment horizontal="center" vertical="center"/>
    </xf>
    <xf numFmtId="179" fontId="33" fillId="14" borderId="25" xfId="2" applyFont="1" applyFill="1" applyBorder="1" applyAlignment="1">
      <alignment horizontal="center" vertical="center"/>
    </xf>
    <xf numFmtId="179" fontId="27" fillId="14" borderId="20" xfId="2" applyFont="1" applyFill="1" applyBorder="1" applyAlignment="1">
      <alignment horizontal="center" vertical="center"/>
    </xf>
    <xf numFmtId="179" fontId="27" fillId="14" borderId="20" xfId="2" applyFont="1" applyFill="1" applyBorder="1" applyAlignment="1">
      <alignment horizontal="center" vertical="center" wrapText="1"/>
    </xf>
    <xf numFmtId="40" fontId="25" fillId="14" borderId="20" xfId="2" applyNumberFormat="1" applyFont="1" applyFill="1" applyBorder="1" applyAlignment="1">
      <alignment horizontal="center" vertical="center"/>
    </xf>
    <xf numFmtId="9" fontId="35" fillId="14" borderId="20" xfId="0" applyNumberFormat="1" applyFont="1" applyFill="1" applyBorder="1" applyAlignment="1">
      <alignment horizontal="center" vertical="center"/>
    </xf>
    <xf numFmtId="9" fontId="25" fillId="14" borderId="20" xfId="3" applyFont="1" applyFill="1" applyBorder="1" applyAlignment="1">
      <alignment horizontal="center" vertical="center"/>
    </xf>
    <xf numFmtId="38" fontId="28" fillId="15" borderId="27" xfId="2" applyNumberFormat="1" applyFont="1" applyFill="1" applyBorder="1" applyAlignment="1">
      <alignment horizontal="center" vertical="center"/>
    </xf>
    <xf numFmtId="179" fontId="33" fillId="15" borderId="25" xfId="2" applyFont="1" applyFill="1" applyBorder="1" applyAlignment="1">
      <alignment horizontal="center" vertical="center"/>
    </xf>
    <xf numFmtId="179" fontId="27" fillId="15" borderId="20" xfId="2" applyFont="1" applyFill="1" applyBorder="1" applyAlignment="1">
      <alignment horizontal="center" vertical="center"/>
    </xf>
    <xf numFmtId="179" fontId="27" fillId="15" borderId="20" xfId="2" applyFont="1" applyFill="1" applyBorder="1" applyAlignment="1">
      <alignment horizontal="center" vertical="center" wrapText="1"/>
    </xf>
    <xf numFmtId="9" fontId="35" fillId="15" borderId="20" xfId="0" applyNumberFormat="1" applyFont="1" applyFill="1" applyBorder="1" applyAlignment="1">
      <alignment horizontal="center" vertical="center"/>
    </xf>
    <xf numFmtId="0" fontId="25" fillId="15" borderId="20" xfId="3" applyNumberFormat="1" applyFont="1" applyFill="1" applyBorder="1" applyAlignment="1" applyProtection="1">
      <alignment horizontal="center" vertical="center"/>
    </xf>
    <xf numFmtId="40" fontId="25" fillId="15" borderId="20" xfId="2" applyNumberFormat="1" applyFont="1" applyFill="1" applyBorder="1" applyAlignment="1">
      <alignment horizontal="center" vertical="center"/>
    </xf>
    <xf numFmtId="38" fontId="28" fillId="16" borderId="27" xfId="2" applyNumberFormat="1" applyFont="1" applyFill="1" applyBorder="1" applyAlignment="1">
      <alignment horizontal="center" vertical="center"/>
    </xf>
    <xf numFmtId="179" fontId="33" fillId="16" borderId="25" xfId="2" applyFont="1" applyFill="1" applyBorder="1" applyAlignment="1">
      <alignment horizontal="center" vertical="center"/>
    </xf>
    <xf numFmtId="179" fontId="27" fillId="16" borderId="20" xfId="2" applyFont="1" applyFill="1" applyBorder="1" applyAlignment="1">
      <alignment horizontal="center" vertical="center"/>
    </xf>
    <xf numFmtId="179" fontId="27" fillId="16" borderId="20" xfId="2" applyFont="1" applyFill="1" applyBorder="1" applyAlignment="1">
      <alignment horizontal="center" vertical="center" wrapText="1"/>
    </xf>
    <xf numFmtId="9" fontId="35" fillId="16" borderId="20" xfId="0" applyNumberFormat="1" applyFont="1" applyFill="1" applyBorder="1" applyAlignment="1">
      <alignment horizontal="center" vertical="center"/>
    </xf>
    <xf numFmtId="9" fontId="25" fillId="16" borderId="20" xfId="3" applyFont="1" applyFill="1" applyBorder="1" applyAlignment="1" applyProtection="1">
      <alignment horizontal="center" vertical="center"/>
    </xf>
    <xf numFmtId="40" fontId="25" fillId="16" borderId="20" xfId="2" applyNumberFormat="1" applyFont="1" applyFill="1" applyBorder="1" applyAlignment="1">
      <alignment horizontal="center" vertical="center"/>
    </xf>
    <xf numFmtId="179" fontId="36" fillId="5" borderId="9" xfId="2" applyFont="1" applyFill="1" applyBorder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40" fontId="36" fillId="5" borderId="9" xfId="2" applyNumberFormat="1" applyFont="1" applyFill="1" applyBorder="1" applyAlignment="1">
      <alignment horizontal="center" vertical="center"/>
    </xf>
    <xf numFmtId="40" fontId="23" fillId="5" borderId="9" xfId="2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178" fontId="20" fillId="0" borderId="0" xfId="0" applyNumberFormat="1" applyFont="1" applyAlignment="1">
      <alignment horizontal="center"/>
    </xf>
    <xf numFmtId="186" fontId="20" fillId="0" borderId="0" xfId="0" applyNumberFormat="1" applyFont="1" applyAlignment="1">
      <alignment horizontal="center"/>
    </xf>
    <xf numFmtId="181" fontId="20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79" fontId="20" fillId="0" borderId="0" xfId="2" applyFont="1" applyAlignment="1">
      <alignment horizontal="center"/>
    </xf>
    <xf numFmtId="49" fontId="24" fillId="5" borderId="13" xfId="2" applyNumberFormat="1" applyFont="1" applyFill="1" applyBorder="1" applyAlignment="1">
      <alignment horizontal="center" vertical="center"/>
    </xf>
    <xf numFmtId="179" fontId="23" fillId="5" borderId="1" xfId="2" applyFont="1" applyFill="1" applyBorder="1" applyAlignment="1">
      <alignment horizontal="center" vertical="center"/>
    </xf>
    <xf numFmtId="179" fontId="23" fillId="5" borderId="32" xfId="2" applyFont="1" applyFill="1" applyBorder="1" applyAlignment="1">
      <alignment horizontal="center" vertical="center"/>
    </xf>
    <xf numFmtId="179" fontId="25" fillId="0" borderId="33" xfId="2" applyFont="1" applyBorder="1" applyAlignment="1">
      <alignment horizontal="center" vertical="center"/>
    </xf>
    <xf numFmtId="10" fontId="38" fillId="0" borderId="11" xfId="0" applyNumberFormat="1" applyFont="1" applyBorder="1" applyAlignment="1">
      <alignment horizontal="center" vertical="center"/>
    </xf>
    <xf numFmtId="49" fontId="25" fillId="0" borderId="3" xfId="2" applyNumberFormat="1" applyFont="1" applyBorder="1" applyAlignment="1">
      <alignment horizontal="center" vertical="center"/>
    </xf>
    <xf numFmtId="49" fontId="28" fillId="6" borderId="3" xfId="2" applyNumberFormat="1" applyFont="1" applyFill="1" applyBorder="1" applyAlignment="1">
      <alignment horizontal="center" vertical="center"/>
    </xf>
    <xf numFmtId="179" fontId="39" fillId="6" borderId="33" xfId="2" applyFont="1" applyFill="1" applyBorder="1" applyAlignment="1">
      <alignment horizontal="center" vertical="center" wrapText="1"/>
    </xf>
    <xf numFmtId="10" fontId="40" fillId="0" borderId="11" xfId="0" applyNumberFormat="1" applyFont="1" applyBorder="1" applyAlignment="1">
      <alignment horizontal="center" vertical="center"/>
    </xf>
    <xf numFmtId="49" fontId="25" fillId="7" borderId="3" xfId="0" applyNumberFormat="1" applyFont="1" applyFill="1" applyBorder="1" applyAlignment="1">
      <alignment horizontal="center" vertical="center"/>
    </xf>
    <xf numFmtId="179" fontId="41" fillId="7" borderId="33" xfId="2" applyFont="1" applyFill="1" applyBorder="1" applyAlignment="1">
      <alignment horizontal="center" vertical="center" wrapText="1"/>
    </xf>
    <xf numFmtId="9" fontId="38" fillId="0" borderId="11" xfId="0" applyNumberFormat="1" applyFont="1" applyBorder="1" applyAlignment="1">
      <alignment horizontal="center" vertical="center"/>
    </xf>
    <xf numFmtId="49" fontId="25" fillId="7" borderId="3" xfId="2" applyNumberFormat="1" applyFont="1" applyFill="1" applyBorder="1" applyAlignment="1">
      <alignment horizontal="center" vertical="center"/>
    </xf>
    <xf numFmtId="179" fontId="26" fillId="7" borderId="33" xfId="2" applyFont="1" applyFill="1" applyBorder="1" applyAlignment="1">
      <alignment horizontal="center" vertical="center" wrapText="1"/>
    </xf>
    <xf numFmtId="9" fontId="20" fillId="0" borderId="11" xfId="0" applyNumberFormat="1" applyFont="1" applyBorder="1" applyAlignment="1">
      <alignment horizontal="center" vertical="center"/>
    </xf>
    <xf numFmtId="49" fontId="25" fillId="0" borderId="3" xfId="2" applyNumberFormat="1" applyFont="1" applyFill="1" applyBorder="1" applyAlignment="1">
      <alignment horizontal="center" vertical="center"/>
    </xf>
    <xf numFmtId="0" fontId="42" fillId="0" borderId="3" xfId="0" applyFont="1" applyBorder="1" applyAlignment="1">
      <alignment vertical="top"/>
    </xf>
    <xf numFmtId="40" fontId="25" fillId="0" borderId="33" xfId="2" applyNumberFormat="1" applyFont="1" applyFill="1" applyBorder="1" applyAlignment="1">
      <alignment horizontal="left" vertical="center" wrapText="1"/>
    </xf>
    <xf numFmtId="49" fontId="0" fillId="0" borderId="3" xfId="0" applyNumberFormat="1" applyBorder="1"/>
    <xf numFmtId="0" fontId="42" fillId="0" borderId="3" xfId="0" applyFont="1" applyBorder="1" applyAlignment="1">
      <alignment vertical="center" wrapText="1"/>
    </xf>
    <xf numFmtId="181" fontId="0" fillId="0" borderId="0" xfId="0" applyNumberFormat="1" applyAlignment="1">
      <alignment horizontal="center" vertical="center"/>
    </xf>
    <xf numFmtId="49" fontId="28" fillId="8" borderId="3" xfId="2" applyNumberFormat="1" applyFont="1" applyFill="1" applyBorder="1" applyAlignment="1">
      <alignment horizontal="center" vertical="center"/>
    </xf>
    <xf numFmtId="179" fontId="39" fillId="8" borderId="33" xfId="2" applyFont="1" applyFill="1" applyBorder="1" applyAlignment="1">
      <alignment horizontal="center" vertical="center" wrapText="1"/>
    </xf>
    <xf numFmtId="9" fontId="34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79" fontId="30" fillId="0" borderId="33" xfId="2" applyFont="1" applyFill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/>
    </xf>
    <xf numFmtId="179" fontId="28" fillId="2" borderId="3" xfId="2" applyFont="1" applyFill="1" applyBorder="1" applyAlignment="1">
      <alignment horizontal="center" vertical="center"/>
    </xf>
    <xf numFmtId="179" fontId="39" fillId="17" borderId="33" xfId="2" applyFont="1" applyFill="1" applyBorder="1" applyAlignment="1">
      <alignment horizontal="center" vertical="center" wrapText="1"/>
    </xf>
    <xf numFmtId="49" fontId="26" fillId="11" borderId="3" xfId="2" applyNumberFormat="1" applyFont="1" applyFill="1" applyBorder="1" applyAlignment="1">
      <alignment horizontal="center" vertical="center"/>
    </xf>
    <xf numFmtId="40" fontId="28" fillId="11" borderId="3" xfId="2" applyNumberFormat="1" applyFont="1" applyFill="1" applyBorder="1" applyAlignment="1">
      <alignment horizontal="center" vertical="center"/>
    </xf>
    <xf numFmtId="179" fontId="43" fillId="11" borderId="33" xfId="2" applyFont="1" applyFill="1" applyBorder="1" applyAlignment="1">
      <alignment horizontal="center" vertical="center" wrapText="1"/>
    </xf>
    <xf numFmtId="49" fontId="28" fillId="12" borderId="3" xfId="2" applyNumberFormat="1" applyFont="1" applyFill="1" applyBorder="1" applyAlignment="1">
      <alignment horizontal="center" vertical="center"/>
    </xf>
    <xf numFmtId="179" fontId="39" fillId="12" borderId="33" xfId="2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49" fontId="28" fillId="0" borderId="3" xfId="2" applyNumberFormat="1" applyFont="1" applyFill="1" applyBorder="1" applyAlignment="1">
      <alignment horizontal="center" vertical="center"/>
    </xf>
    <xf numFmtId="40" fontId="28" fillId="0" borderId="3" xfId="2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49" fontId="26" fillId="0" borderId="3" xfId="2" applyNumberFormat="1" applyFont="1" applyFill="1" applyBorder="1" applyAlignment="1">
      <alignment horizontal="center" vertical="center"/>
    </xf>
    <xf numFmtId="40" fontId="26" fillId="0" borderId="3" xfId="2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49" fontId="26" fillId="0" borderId="20" xfId="2" applyNumberFormat="1" applyFont="1" applyFill="1" applyBorder="1" applyAlignment="1">
      <alignment horizontal="center" vertical="center"/>
    </xf>
    <xf numFmtId="40" fontId="26" fillId="0" borderId="20" xfId="2" applyNumberFormat="1" applyFont="1" applyFill="1" applyBorder="1" applyAlignment="1">
      <alignment horizontal="center" vertical="center"/>
    </xf>
    <xf numFmtId="179" fontId="43" fillId="0" borderId="3" xfId="2" applyFont="1" applyFill="1" applyBorder="1" applyAlignment="1">
      <alignment horizontal="center" vertical="center"/>
    </xf>
    <xf numFmtId="49" fontId="33" fillId="13" borderId="20" xfId="2" applyNumberFormat="1" applyFont="1" applyFill="1" applyBorder="1" applyAlignment="1">
      <alignment horizontal="center" vertical="center"/>
    </xf>
    <xf numFmtId="40" fontId="33" fillId="13" borderId="3" xfId="2" applyNumberFormat="1" applyFont="1" applyFill="1" applyBorder="1" applyAlignment="1">
      <alignment horizontal="center" vertical="center"/>
    </xf>
    <xf numFmtId="40" fontId="26" fillId="13" borderId="3" xfId="2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9" fontId="25" fillId="14" borderId="20" xfId="2" applyNumberFormat="1" applyFont="1" applyFill="1" applyBorder="1" applyAlignment="1">
      <alignment horizontal="center" vertical="center"/>
    </xf>
    <xf numFmtId="49" fontId="25" fillId="15" borderId="20" xfId="2" applyNumberFormat="1" applyFont="1" applyFill="1" applyBorder="1" applyAlignment="1">
      <alignment horizontal="center" vertical="center"/>
    </xf>
    <xf numFmtId="49" fontId="25" fillId="16" borderId="20" xfId="2" applyNumberFormat="1" applyFont="1" applyFill="1" applyBorder="1" applyAlignment="1">
      <alignment horizontal="center" vertical="center"/>
    </xf>
    <xf numFmtId="49" fontId="23" fillId="5" borderId="9" xfId="2" applyNumberFormat="1" applyFont="1" applyFill="1" applyBorder="1" applyAlignment="1">
      <alignment horizontal="center" vertical="center"/>
    </xf>
    <xf numFmtId="40" fontId="23" fillId="5" borderId="3" xfId="2" applyNumberFormat="1" applyFont="1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19" fillId="18" borderId="3" xfId="0" applyFont="1" applyFill="1" applyBorder="1" applyAlignment="1">
      <alignment horizontal="center" vertical="center"/>
    </xf>
    <xf numFmtId="49" fontId="0" fillId="0" borderId="0" xfId="0" applyNumberFormat="1"/>
    <xf numFmtId="179" fontId="0" fillId="0" borderId="0" xfId="2" applyFont="1">
      <alignment vertical="center"/>
    </xf>
    <xf numFmtId="9" fontId="0" fillId="0" borderId="0" xfId="0" applyNumberFormat="1"/>
    <xf numFmtId="9" fontId="0" fillId="0" borderId="0" xfId="3" applyFont="1" applyAlignment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79" fontId="0" fillId="3" borderId="0" xfId="0" applyNumberFormat="1" applyFill="1"/>
    <xf numFmtId="0" fontId="0" fillId="0" borderId="0" xfId="0" applyAlignment="1">
      <alignment vertical="top"/>
    </xf>
    <xf numFmtId="0" fontId="0" fillId="4" borderId="3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4" fontId="0" fillId="3" borderId="0" xfId="0" applyNumberFormat="1" applyFill="1" applyAlignment="1">
      <alignment vertical="top"/>
    </xf>
    <xf numFmtId="184" fontId="0" fillId="0" borderId="0" xfId="0" applyNumberFormat="1" applyAlignment="1">
      <alignment horizontal="right" vertical="top"/>
    </xf>
    <xf numFmtId="0" fontId="0" fillId="0" borderId="0" xfId="0" applyAlignment="1">
      <alignment horizontal="right"/>
    </xf>
    <xf numFmtId="0" fontId="45" fillId="0" borderId="0" xfId="0" applyFont="1" applyAlignment="1">
      <alignment horizontal="left" vertical="center"/>
    </xf>
    <xf numFmtId="0" fontId="46" fillId="19" borderId="0" xfId="0" applyFont="1" applyFill="1" applyAlignment="1" applyProtection="1">
      <alignment horizontal="left" vertical="center"/>
      <protection locked="0"/>
    </xf>
    <xf numFmtId="187" fontId="45" fillId="0" borderId="0" xfId="0" applyNumberFormat="1" applyFont="1" applyAlignment="1">
      <alignment horizontal="right" vertical="center"/>
    </xf>
    <xf numFmtId="0" fontId="45" fillId="0" borderId="0" xfId="0" applyFont="1" applyAlignment="1">
      <alignment horizontal="right" vertical="center"/>
    </xf>
    <xf numFmtId="0" fontId="47" fillId="20" borderId="3" xfId="0" applyFont="1" applyFill="1" applyBorder="1" applyAlignment="1" applyProtection="1">
      <alignment horizontal="center" vertical="center"/>
      <protection locked="0"/>
    </xf>
    <xf numFmtId="187" fontId="47" fillId="20" borderId="3" xfId="0" applyNumberFormat="1" applyFont="1" applyFill="1" applyBorder="1" applyAlignment="1" applyProtection="1">
      <alignment horizontal="center" vertical="center"/>
      <protection locked="0"/>
    </xf>
    <xf numFmtId="0" fontId="48" fillId="21" borderId="35" xfId="0" applyFont="1" applyFill="1" applyBorder="1" applyAlignment="1" applyProtection="1">
      <alignment horizontal="center" vertical="center"/>
      <protection locked="0"/>
    </xf>
    <xf numFmtId="0" fontId="47" fillId="19" borderId="3" xfId="0" applyFont="1" applyFill="1" applyBorder="1" applyAlignment="1" applyProtection="1">
      <alignment horizontal="left" vertical="center"/>
      <protection locked="0"/>
    </xf>
    <xf numFmtId="0" fontId="47" fillId="19" borderId="3" xfId="0" applyFont="1" applyFill="1" applyBorder="1" applyAlignment="1" applyProtection="1">
      <alignment horizontal="center" vertical="center"/>
      <protection locked="0"/>
    </xf>
    <xf numFmtId="43" fontId="47" fillId="0" borderId="3" xfId="0" applyNumberFormat="1" applyFont="1" applyBorder="1" applyAlignment="1">
      <alignment horizontal="right" vertical="center"/>
    </xf>
    <xf numFmtId="43" fontId="49" fillId="0" borderId="3" xfId="0" applyNumberFormat="1" applyFont="1" applyBorder="1" applyAlignment="1" applyProtection="1">
      <alignment horizontal="right" vertical="center"/>
      <protection locked="0"/>
    </xf>
    <xf numFmtId="188" fontId="48" fillId="22" borderId="31" xfId="0" applyNumberFormat="1" applyFont="1" applyFill="1" applyBorder="1" applyAlignment="1" applyProtection="1">
      <alignment horizontal="right" vertical="center"/>
      <protection locked="0"/>
    </xf>
    <xf numFmtId="43" fontId="47" fillId="0" borderId="3" xfId="0" applyNumberFormat="1" applyFont="1" applyBorder="1" applyAlignment="1" applyProtection="1">
      <alignment horizontal="right" vertical="center"/>
      <protection locked="0"/>
    </xf>
    <xf numFmtId="179" fontId="0" fillId="0" borderId="0" xfId="2" applyFont="1" applyAlignment="1">
      <alignment horizontal="right"/>
    </xf>
    <xf numFmtId="179" fontId="50" fillId="0" borderId="0" xfId="2" applyFont="1" applyAlignment="1">
      <alignment horizontal="right"/>
    </xf>
    <xf numFmtId="4" fontId="0" fillId="0" borderId="0" xfId="0" applyNumberFormat="1" applyAlignment="1">
      <alignment horizontal="right"/>
    </xf>
    <xf numFmtId="43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45" fillId="0" borderId="0" xfId="0" applyFont="1" applyAlignment="1">
      <alignment horizontal="center" vertical="center"/>
    </xf>
    <xf numFmtId="0" fontId="47" fillId="0" borderId="3" xfId="0" applyFont="1" applyBorder="1" applyAlignment="1" applyProtection="1">
      <alignment horizontal="left" vertical="center"/>
      <protection locked="0"/>
    </xf>
    <xf numFmtId="0" fontId="47" fillId="0" borderId="3" xfId="0" applyFont="1" applyBorder="1" applyAlignment="1" applyProtection="1">
      <alignment horizontal="center" vertical="center"/>
      <protection locked="0"/>
    </xf>
    <xf numFmtId="0" fontId="47" fillId="0" borderId="3" xfId="0" applyFont="1" applyBorder="1" applyAlignment="1">
      <alignment horizontal="right" vertical="center"/>
    </xf>
    <xf numFmtId="189" fontId="47" fillId="0" borderId="3" xfId="0" applyNumberFormat="1" applyFont="1" applyBorder="1" applyAlignment="1" applyProtection="1">
      <alignment horizontal="right" vertical="center"/>
      <protection locked="0"/>
    </xf>
    <xf numFmtId="43" fontId="49" fillId="0" borderId="3" xfId="0" applyNumberFormat="1" applyFont="1" applyBorder="1" applyAlignment="1">
      <alignment horizontal="right" vertical="center"/>
    </xf>
    <xf numFmtId="43" fontId="45" fillId="0" borderId="0" xfId="0" applyNumberFormat="1" applyFont="1" applyAlignment="1">
      <alignment horizontal="right" vertical="center"/>
    </xf>
    <xf numFmtId="179" fontId="28" fillId="17" borderId="3" xfId="2" quotePrefix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63" fillId="0" borderId="0" xfId="0" applyFont="1"/>
    <xf numFmtId="179" fontId="21" fillId="0" borderId="14" xfId="2" applyFont="1" applyBorder="1" applyAlignment="1">
      <alignment horizontal="center" vertical="center"/>
    </xf>
    <xf numFmtId="179" fontId="22" fillId="0" borderId="14" xfId="2" applyFont="1" applyBorder="1" applyAlignment="1">
      <alignment horizontal="center" vertical="center"/>
    </xf>
    <xf numFmtId="182" fontId="20" fillId="0" borderId="17" xfId="0" applyNumberFormat="1" applyFont="1" applyBorder="1" applyAlignment="1">
      <alignment horizontal="center" vertical="center"/>
    </xf>
    <xf numFmtId="182" fontId="20" fillId="0" borderId="30" xfId="0" applyNumberFormat="1" applyFont="1" applyBorder="1" applyAlignment="1">
      <alignment horizontal="center" vertical="center"/>
    </xf>
    <xf numFmtId="182" fontId="20" fillId="0" borderId="31" xfId="0" applyNumberFormat="1" applyFont="1" applyBorder="1" applyAlignment="1">
      <alignment horizontal="center" vertical="center"/>
    </xf>
    <xf numFmtId="179" fontId="24" fillId="5" borderId="28" xfId="2" applyFont="1" applyFill="1" applyBorder="1" applyAlignment="1">
      <alignment horizontal="center" vertical="center"/>
    </xf>
    <xf numFmtId="179" fontId="23" fillId="5" borderId="29" xfId="2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79" fontId="26" fillId="0" borderId="23" xfId="2" applyFont="1" applyBorder="1" applyAlignment="1">
      <alignment horizontal="center" vertical="center"/>
    </xf>
    <xf numFmtId="179" fontId="26" fillId="0" borderId="0" xfId="2" applyFont="1" applyBorder="1" applyAlignment="1">
      <alignment horizontal="center" vertical="center"/>
    </xf>
    <xf numFmtId="179" fontId="26" fillId="0" borderId="2" xfId="2" applyFont="1" applyBorder="1" applyAlignment="1">
      <alignment horizontal="center" vertical="center"/>
    </xf>
    <xf numFmtId="179" fontId="31" fillId="0" borderId="24" xfId="2" applyFont="1" applyFill="1" applyBorder="1" applyAlignment="1">
      <alignment horizontal="center" vertical="center"/>
    </xf>
    <xf numFmtId="179" fontId="31" fillId="0" borderId="25" xfId="2" applyFont="1" applyFill="1" applyBorder="1" applyAlignment="1">
      <alignment horizontal="center" vertical="center"/>
    </xf>
    <xf numFmtId="38" fontId="28" fillId="0" borderId="20" xfId="2" applyNumberFormat="1" applyFont="1" applyFill="1" applyBorder="1" applyAlignment="1">
      <alignment horizontal="center" vertical="center"/>
    </xf>
    <xf numFmtId="38" fontId="28" fillId="0" borderId="22" xfId="2" applyNumberFormat="1" applyFont="1" applyFill="1" applyBorder="1" applyAlignment="1">
      <alignment horizontal="center" vertical="center"/>
    </xf>
    <xf numFmtId="38" fontId="28" fillId="0" borderId="27" xfId="2" applyNumberFormat="1" applyFont="1" applyFill="1" applyBorder="1" applyAlignment="1">
      <alignment horizontal="center" vertical="center"/>
    </xf>
    <xf numFmtId="38" fontId="28" fillId="0" borderId="13" xfId="2" applyNumberFormat="1" applyFont="1" applyFill="1" applyBorder="1" applyAlignment="1">
      <alignment horizontal="center" vertical="center"/>
    </xf>
    <xf numFmtId="179" fontId="26" fillId="0" borderId="20" xfId="2" applyFont="1" applyBorder="1" applyAlignment="1">
      <alignment horizontal="center" vertical="center"/>
    </xf>
    <xf numFmtId="179" fontId="26" fillId="0" borderId="22" xfId="2" applyFont="1" applyBorder="1" applyAlignment="1">
      <alignment horizontal="center" vertical="center"/>
    </xf>
    <xf numFmtId="179" fontId="26" fillId="0" borderId="24" xfId="2" applyFont="1" applyBorder="1" applyAlignment="1">
      <alignment horizontal="center" vertical="center"/>
    </xf>
    <xf numFmtId="179" fontId="26" fillId="0" borderId="25" xfId="2" applyFont="1" applyBorder="1" applyAlignment="1">
      <alignment horizontal="center" vertical="center"/>
    </xf>
    <xf numFmtId="179" fontId="26" fillId="0" borderId="26" xfId="2" applyFont="1" applyBorder="1" applyAlignment="1">
      <alignment horizontal="center" vertical="center"/>
    </xf>
    <xf numFmtId="179" fontId="31" fillId="2" borderId="20" xfId="2" applyFont="1" applyFill="1" applyBorder="1" applyAlignment="1">
      <alignment horizontal="center" vertical="center"/>
    </xf>
    <xf numFmtId="179" fontId="31" fillId="2" borderId="22" xfId="2" applyFont="1" applyFill="1" applyBorder="1" applyAlignment="1">
      <alignment horizontal="center" vertical="center"/>
    </xf>
    <xf numFmtId="179" fontId="33" fillId="0" borderId="20" xfId="2" applyFont="1" applyFill="1" applyBorder="1" applyAlignment="1">
      <alignment horizontal="center" vertical="center"/>
    </xf>
    <xf numFmtId="179" fontId="33" fillId="0" borderId="22" xfId="2" applyFont="1" applyFill="1" applyBorder="1" applyAlignment="1">
      <alignment horizontal="center" vertical="center"/>
    </xf>
    <xf numFmtId="179" fontId="33" fillId="0" borderId="25" xfId="2" applyFont="1" applyFill="1" applyBorder="1" applyAlignment="1">
      <alignment horizontal="center" vertical="center"/>
    </xf>
    <xf numFmtId="179" fontId="33" fillId="0" borderId="13" xfId="2" applyFont="1" applyFill="1" applyBorder="1" applyAlignment="1">
      <alignment horizontal="center" vertical="center"/>
    </xf>
    <xf numFmtId="179" fontId="27" fillId="0" borderId="20" xfId="2" applyFont="1" applyBorder="1" applyAlignment="1">
      <alignment horizontal="center" vertical="center"/>
    </xf>
    <xf numFmtId="179" fontId="27" fillId="0" borderId="22" xfId="2" applyFont="1" applyBorder="1" applyAlignment="1">
      <alignment horizontal="center" vertical="center"/>
    </xf>
    <xf numFmtId="179" fontId="27" fillId="0" borderId="13" xfId="2" applyFont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0" xfId="13" applyFont="1" applyAlignment="1">
      <alignment horizontal="center" vertic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2" xfId="13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43" fontId="0" fillId="0" borderId="13" xfId="0" applyNumberFormat="1" applyBorder="1" applyAlignment="1">
      <alignment horizontal="center" vertical="center"/>
    </xf>
    <xf numFmtId="43" fontId="0" fillId="0" borderId="32" xfId="0" applyNumberForma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quotePrefix="1" applyFont="1" applyFill="1" applyBorder="1" applyAlignment="1">
      <alignment horizontal="center" vertical="center"/>
    </xf>
    <xf numFmtId="0" fontId="10" fillId="3" borderId="3" xfId="0" quotePrefix="1" applyFont="1" applyFill="1" applyBorder="1" applyAlignment="1">
      <alignment horizontal="center" vertical="center" wrapText="1"/>
    </xf>
  </cellXfs>
  <cellStyles count="18">
    <cellStyle name="Comma [0] 2" xfId="6" xr:uid="{00000000-0005-0000-0000-000011000000}"/>
    <cellStyle name="Comma 3 2" xfId="10" xr:uid="{00000000-0005-0000-0000-000038000000}"/>
    <cellStyle name="Normal" xfId="11" xr:uid="{00000000-0005-0000-0000-000039000000}"/>
    <cellStyle name="Normal 2" xfId="7" xr:uid="{00000000-0005-0000-0000-00002E000000}"/>
    <cellStyle name="Normal 3" xfId="8" xr:uid="{00000000-0005-0000-0000-000031000000}"/>
    <cellStyle name="Percent 5" xfId="1" xr:uid="{00000000-0005-0000-0000-000005000000}"/>
    <cellStyle name="百分比" xfId="3" builtinId="5"/>
    <cellStyle name="百分比 2" xfId="5" xr:uid="{00000000-0005-0000-0000-00000F000000}"/>
    <cellStyle name="常规" xfId="0" builtinId="0"/>
    <cellStyle name="常规 2" xfId="12" xr:uid="{00000000-0005-0000-0000-00003A000000}"/>
    <cellStyle name="常规 2 3" xfId="9" xr:uid="{00000000-0005-0000-0000-000035000000}"/>
    <cellStyle name="常规 3" xfId="13" xr:uid="{00000000-0005-0000-0000-00003B000000}"/>
    <cellStyle name="常规 4" xfId="15" xr:uid="{00000000-0005-0000-0000-00003D000000}"/>
    <cellStyle name="常规 5" xfId="17" xr:uid="{00000000-0005-0000-0000-00003F000000}"/>
    <cellStyle name="千位分隔" xfId="2" builtinId="3"/>
    <cellStyle name="千位分隔 2" xfId="14" xr:uid="{00000000-0005-0000-0000-00003C000000}"/>
    <cellStyle name="千位分隔 3" xfId="16" xr:uid="{00000000-0005-0000-0000-00003E000000}"/>
    <cellStyle name="千位分隔 4" xfId="4" xr:uid="{00000000-0005-0000-0000-00000E000000}"/>
  </cellStyles>
  <dxfs count="0"/>
  <tableStyles count="0" defaultTableStyle="TableStyleMedium2" defaultPivotStyle="PivotStyleLight16"/>
  <colors>
    <mruColors>
      <color rgb="FFFF7C80"/>
      <color rgb="FFFF5050"/>
      <color rgb="FFA50021"/>
      <color rgb="FFDFABB7"/>
      <color rgb="FFC00000"/>
      <color rgb="FF996633"/>
      <color rgb="FFE9CCA1"/>
      <color rgb="FF9933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685165</xdr:colOff>
      <xdr:row>5</xdr:row>
      <xdr:rowOff>0</xdr:rowOff>
    </xdr:from>
    <xdr:to>
      <xdr:col>18</xdr:col>
      <xdr:colOff>201930</xdr:colOff>
      <xdr:row>12</xdr:row>
      <xdr:rowOff>57150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0795" y="923925"/>
          <a:ext cx="6358255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380999</xdr:colOff>
      <xdr:row>49</xdr:row>
      <xdr:rowOff>102819</xdr:rowOff>
    </xdr:from>
    <xdr:to>
      <xdr:col>22</xdr:col>
      <xdr:colOff>135857</xdr:colOff>
      <xdr:row>61</xdr:row>
      <xdr:rowOff>100326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5365" y="9354185"/>
          <a:ext cx="9140190" cy="210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537882</xdr:colOff>
      <xdr:row>25</xdr:row>
      <xdr:rowOff>72353</xdr:rowOff>
    </xdr:from>
    <xdr:to>
      <xdr:col>14</xdr:col>
      <xdr:colOff>620589</xdr:colOff>
      <xdr:row>59</xdr:row>
      <xdr:rowOff>149389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" y="5012690"/>
          <a:ext cx="8543925" cy="6057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481850</xdr:colOff>
      <xdr:row>20</xdr:row>
      <xdr:rowOff>12453</xdr:rowOff>
    </xdr:from>
    <xdr:to>
      <xdr:col>6</xdr:col>
      <xdr:colOff>274543</xdr:colOff>
      <xdr:row>52</xdr:row>
      <xdr:rowOff>128717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330" y="3529965"/>
          <a:ext cx="6591300" cy="57448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aozhi Hu(Outsourcing)" id="{58A22795-61B6-4BB6-969E-C66D11767F41}" userId="S::yaozhi.hu1@envision-energy.com::d0335f89-d0f4-4e24-b94f-70257f2012c2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5" dT="2025-04-18T10:27:26.05" personId="{58A22795-61B6-4BB6-969E-C66D11767F41}" id="{7B8CB739-D49B-4BC6-8F28-C5346709E6D1}">
    <text>如果有所得税还需去掉所得税金额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8"/>
  <sheetViews>
    <sheetView topLeftCell="B1" zoomScale="70" zoomScaleNormal="70" workbookViewId="0">
      <selection activeCell="I58" sqref="I58"/>
    </sheetView>
  </sheetViews>
  <sheetFormatPr defaultColWidth="9" defaultRowHeight="14"/>
  <cols>
    <col min="1" max="1" width="1.75" hidden="1" customWidth="1"/>
    <col min="2" max="2" width="20.5" customWidth="1"/>
    <col min="3" max="3" width="3.5" customWidth="1"/>
    <col min="4" max="5" width="20.75" customWidth="1"/>
    <col min="6" max="6" width="22.75" customWidth="1"/>
    <col min="7" max="7" width="3.58203125" customWidth="1"/>
    <col min="8" max="9" width="20.5" customWidth="1"/>
    <col min="17" max="17" width="22.75" customWidth="1"/>
  </cols>
  <sheetData>
    <row r="1" spans="1:9" ht="14.25" customHeight="1">
      <c r="A1" s="241"/>
      <c r="B1" s="242" t="s">
        <v>0</v>
      </c>
    </row>
    <row r="2" spans="1:9" ht="14.25" customHeight="1">
      <c r="A2" s="241"/>
      <c r="B2" s="242" t="s">
        <v>1</v>
      </c>
      <c r="C2" s="259"/>
      <c r="F2" s="241"/>
      <c r="G2" s="259"/>
    </row>
    <row r="3" spans="1:9" ht="14.25" customHeight="1">
      <c r="A3" s="241"/>
      <c r="B3" s="242" t="s">
        <v>2</v>
      </c>
      <c r="C3" s="259"/>
      <c r="F3" s="241"/>
      <c r="G3" s="259"/>
    </row>
    <row r="4" spans="1:9" ht="15" customHeight="1">
      <c r="B4" s="245" t="s">
        <v>3</v>
      </c>
      <c r="C4" s="245" t="s">
        <v>4</v>
      </c>
      <c r="D4" s="245" t="s">
        <v>5</v>
      </c>
      <c r="E4" s="245" t="s">
        <v>6</v>
      </c>
      <c r="F4" s="245" t="s">
        <v>3</v>
      </c>
      <c r="G4" s="245" t="s">
        <v>4</v>
      </c>
      <c r="H4" s="245" t="s">
        <v>5</v>
      </c>
      <c r="I4" s="245" t="s">
        <v>6</v>
      </c>
    </row>
    <row r="5" spans="1:9" ht="15" customHeight="1">
      <c r="B5" s="260" t="s">
        <v>7</v>
      </c>
      <c r="C5" s="261">
        <v>1</v>
      </c>
      <c r="D5" s="262"/>
      <c r="E5" s="262"/>
      <c r="F5" s="260" t="s">
        <v>8</v>
      </c>
      <c r="G5" s="261"/>
      <c r="H5" s="263"/>
      <c r="I5" s="263"/>
    </row>
    <row r="6" spans="1:9" ht="15" customHeight="1">
      <c r="B6" s="260" t="s">
        <v>9</v>
      </c>
      <c r="C6" s="261">
        <v>2</v>
      </c>
      <c r="D6" s="250">
        <v>305592.95</v>
      </c>
      <c r="E6" s="264">
        <v>4642887.6500000004</v>
      </c>
      <c r="F6" s="260" t="s">
        <v>10</v>
      </c>
      <c r="G6" s="261">
        <v>50</v>
      </c>
      <c r="H6" s="250">
        <v>0</v>
      </c>
      <c r="I6" s="250">
        <v>0</v>
      </c>
    </row>
    <row r="7" spans="1:9" ht="15" customHeight="1">
      <c r="B7" s="260" t="s">
        <v>11</v>
      </c>
      <c r="C7" s="261">
        <v>3</v>
      </c>
      <c r="D7" s="250">
        <v>0</v>
      </c>
      <c r="E7" s="264">
        <v>0</v>
      </c>
      <c r="F7" s="260" t="s">
        <v>12</v>
      </c>
      <c r="G7" s="261">
        <v>51</v>
      </c>
      <c r="H7" s="250">
        <v>0</v>
      </c>
      <c r="I7" s="250">
        <v>0</v>
      </c>
    </row>
    <row r="8" spans="1:9" ht="15" customHeight="1">
      <c r="B8" s="260" t="s">
        <v>13</v>
      </c>
      <c r="C8" s="261">
        <v>4</v>
      </c>
      <c r="D8" s="250">
        <v>0</v>
      </c>
      <c r="E8" s="264">
        <v>0</v>
      </c>
      <c r="F8" s="260" t="s">
        <v>14</v>
      </c>
      <c r="G8" s="261">
        <v>52</v>
      </c>
      <c r="H8" s="250">
        <v>0</v>
      </c>
      <c r="I8" s="250">
        <v>0</v>
      </c>
    </row>
    <row r="9" spans="1:9" ht="15" customHeight="1">
      <c r="B9" s="260" t="s">
        <v>15</v>
      </c>
      <c r="C9" s="261">
        <v>5</v>
      </c>
      <c r="D9" s="250">
        <v>0</v>
      </c>
      <c r="E9" s="264">
        <v>0</v>
      </c>
      <c r="F9" s="260" t="s">
        <v>16</v>
      </c>
      <c r="G9" s="261">
        <v>53</v>
      </c>
      <c r="H9" s="250">
        <v>80954845.189999998</v>
      </c>
      <c r="I9" s="264">
        <v>81076222.790000007</v>
      </c>
    </row>
    <row r="10" spans="1:9" ht="15" customHeight="1">
      <c r="B10" s="260" t="s">
        <v>17</v>
      </c>
      <c r="C10" s="261">
        <v>6</v>
      </c>
      <c r="D10" s="250">
        <v>45946754.07</v>
      </c>
      <c r="E10" s="264">
        <v>62250914.439999998</v>
      </c>
      <c r="F10" s="260" t="s">
        <v>18</v>
      </c>
      <c r="G10" s="261">
        <v>54</v>
      </c>
      <c r="H10" s="250">
        <v>0</v>
      </c>
      <c r="I10" s="264">
        <v>0</v>
      </c>
    </row>
    <row r="11" spans="1:9" ht="15" customHeight="1">
      <c r="B11" s="260" t="s">
        <v>19</v>
      </c>
      <c r="C11" s="261">
        <v>7</v>
      </c>
      <c r="D11" s="250">
        <v>0</v>
      </c>
      <c r="E11" s="264">
        <v>0</v>
      </c>
      <c r="F11" s="260" t="s">
        <v>20</v>
      </c>
      <c r="G11" s="261">
        <v>55</v>
      </c>
      <c r="H11" s="250">
        <v>0</v>
      </c>
      <c r="I11" s="264">
        <v>0</v>
      </c>
    </row>
    <row r="12" spans="1:9" ht="15" customHeight="1">
      <c r="B12" s="260" t="s">
        <v>21</v>
      </c>
      <c r="C12" s="261">
        <v>8</v>
      </c>
      <c r="D12" s="250">
        <v>347802921.68000001</v>
      </c>
      <c r="E12" s="264">
        <v>336818711.57999998</v>
      </c>
      <c r="F12" s="260" t="s">
        <v>22</v>
      </c>
      <c r="G12" s="261">
        <v>56</v>
      </c>
      <c r="H12" s="250">
        <v>0</v>
      </c>
      <c r="I12" s="264">
        <v>0</v>
      </c>
    </row>
    <row r="13" spans="1:9" ht="15" customHeight="1">
      <c r="B13" s="260" t="s">
        <v>23</v>
      </c>
      <c r="C13" s="261">
        <v>9</v>
      </c>
      <c r="D13" s="250">
        <v>0</v>
      </c>
      <c r="E13" s="264">
        <v>0</v>
      </c>
      <c r="F13" s="260" t="s">
        <v>24</v>
      </c>
      <c r="G13" s="261">
        <v>57</v>
      </c>
      <c r="H13" s="250">
        <v>-194808954.12</v>
      </c>
      <c r="I13" s="264">
        <v>-192482785.34</v>
      </c>
    </row>
    <row r="14" spans="1:9" ht="15" customHeight="1">
      <c r="B14" s="260" t="s">
        <v>25</v>
      </c>
      <c r="C14" s="261">
        <v>10</v>
      </c>
      <c r="D14" s="250">
        <v>0</v>
      </c>
      <c r="E14" s="264">
        <v>0</v>
      </c>
      <c r="F14" s="260" t="s">
        <v>26</v>
      </c>
      <c r="G14" s="261">
        <v>58</v>
      </c>
      <c r="H14" s="250">
        <v>1922871.49</v>
      </c>
      <c r="I14" s="264">
        <v>7341872.9900000002</v>
      </c>
    </row>
    <row r="15" spans="1:9" ht="15" customHeight="1">
      <c r="B15" s="260" t="s">
        <v>27</v>
      </c>
      <c r="C15" s="261">
        <v>11</v>
      </c>
      <c r="D15" s="250">
        <v>40000</v>
      </c>
      <c r="E15" s="264">
        <v>40000</v>
      </c>
      <c r="F15" s="260"/>
      <c r="G15" s="261">
        <v>59</v>
      </c>
      <c r="H15" s="250"/>
      <c r="I15" s="264"/>
    </row>
    <row r="16" spans="1:9" ht="15" customHeight="1">
      <c r="B16" s="260" t="s">
        <v>28</v>
      </c>
      <c r="C16" s="261">
        <v>12</v>
      </c>
      <c r="D16" s="250">
        <v>0</v>
      </c>
      <c r="E16" s="264">
        <v>0</v>
      </c>
      <c r="F16" s="260" t="s">
        <v>29</v>
      </c>
      <c r="G16" s="261">
        <v>60</v>
      </c>
      <c r="H16" s="250">
        <v>0</v>
      </c>
      <c r="I16" s="264">
        <v>0</v>
      </c>
    </row>
    <row r="17" spans="2:18" ht="15" customHeight="1">
      <c r="B17" s="260" t="s">
        <v>30</v>
      </c>
      <c r="C17" s="261">
        <v>13</v>
      </c>
      <c r="D17" s="250">
        <v>0</v>
      </c>
      <c r="E17" s="264">
        <v>0</v>
      </c>
      <c r="F17" s="260" t="s">
        <v>31</v>
      </c>
      <c r="G17" s="261">
        <v>61</v>
      </c>
      <c r="H17" s="250">
        <v>48600700</v>
      </c>
      <c r="I17" s="264">
        <v>50600700</v>
      </c>
    </row>
    <row r="18" spans="2:18" ht="15" customHeight="1">
      <c r="B18" s="260" t="s">
        <v>32</v>
      </c>
      <c r="C18" s="261">
        <v>14</v>
      </c>
      <c r="D18" s="250">
        <v>0</v>
      </c>
      <c r="E18" s="264">
        <v>0</v>
      </c>
      <c r="F18" s="260" t="s">
        <v>33</v>
      </c>
      <c r="G18" s="261">
        <v>62</v>
      </c>
      <c r="H18" s="250">
        <v>0</v>
      </c>
      <c r="I18" s="264">
        <v>0</v>
      </c>
    </row>
    <row r="19" spans="2:18" ht="15" customHeight="1">
      <c r="B19" s="260" t="s">
        <v>34</v>
      </c>
      <c r="C19" s="261">
        <v>15</v>
      </c>
      <c r="D19" s="250">
        <v>16285254.220000001</v>
      </c>
      <c r="E19" s="264">
        <v>17223965.809999999</v>
      </c>
      <c r="F19" s="260" t="s">
        <v>35</v>
      </c>
      <c r="G19" s="261">
        <v>63</v>
      </c>
      <c r="H19" s="250">
        <v>121832321.36</v>
      </c>
      <c r="I19" s="264">
        <v>121832321.36</v>
      </c>
    </row>
    <row r="20" spans="2:18" ht="15" customHeight="1">
      <c r="B20" s="260" t="s">
        <v>36</v>
      </c>
      <c r="C20" s="261">
        <v>16</v>
      </c>
      <c r="D20" s="250">
        <v>410380522.92000002</v>
      </c>
      <c r="E20" s="264">
        <v>420976479.48000002</v>
      </c>
      <c r="F20" s="260" t="s">
        <v>37</v>
      </c>
      <c r="G20" s="261">
        <v>64</v>
      </c>
      <c r="H20" s="250">
        <v>0</v>
      </c>
      <c r="I20" s="264">
        <v>0</v>
      </c>
    </row>
    <row r="21" spans="2:18" ht="15" customHeight="1">
      <c r="B21" s="260" t="s">
        <v>38</v>
      </c>
      <c r="C21" s="261">
        <v>17</v>
      </c>
      <c r="D21" s="250"/>
      <c r="E21" s="264"/>
      <c r="F21" s="260" t="s">
        <v>39</v>
      </c>
      <c r="G21" s="261">
        <v>65</v>
      </c>
      <c r="H21" s="250">
        <v>58501783.920000002</v>
      </c>
      <c r="I21" s="264">
        <v>68368331.799999997</v>
      </c>
    </row>
    <row r="22" spans="2:18" ht="15" customHeight="1">
      <c r="B22" s="260" t="s">
        <v>40</v>
      </c>
      <c r="C22" s="261">
        <v>18</v>
      </c>
      <c r="D22" s="250">
        <v>0</v>
      </c>
      <c r="E22" s="264">
        <v>0</v>
      </c>
      <c r="F22" s="260" t="s">
        <v>41</v>
      </c>
      <c r="G22" s="261">
        <v>66</v>
      </c>
      <c r="H22" s="250"/>
      <c r="I22" s="264"/>
      <c r="Q22" s="33"/>
    </row>
    <row r="23" spans="2:18" ht="15" customHeight="1">
      <c r="B23" s="260" t="s">
        <v>42</v>
      </c>
      <c r="C23" s="261">
        <v>19</v>
      </c>
      <c r="D23" s="250">
        <v>0</v>
      </c>
      <c r="E23" s="264">
        <v>0</v>
      </c>
      <c r="F23" s="260" t="s">
        <v>43</v>
      </c>
      <c r="G23" s="261">
        <v>67</v>
      </c>
      <c r="H23" s="250">
        <v>1593247678.6400001</v>
      </c>
      <c r="I23" s="264">
        <v>1593247678.6400001</v>
      </c>
      <c r="Q23" s="33"/>
    </row>
    <row r="24" spans="2:18" ht="15" customHeight="1">
      <c r="B24" s="260" t="s">
        <v>44</v>
      </c>
      <c r="C24" s="261">
        <v>20</v>
      </c>
      <c r="D24" s="250">
        <v>0</v>
      </c>
      <c r="E24" s="264">
        <v>0</v>
      </c>
      <c r="F24" s="260" t="s">
        <v>45</v>
      </c>
      <c r="G24" s="261">
        <v>68</v>
      </c>
      <c r="H24" s="250">
        <v>0</v>
      </c>
      <c r="I24" s="264">
        <v>0</v>
      </c>
      <c r="Q24" s="33">
        <v>788747.51</v>
      </c>
      <c r="R24" t="s">
        <v>46</v>
      </c>
    </row>
    <row r="25" spans="2:18" ht="15" customHeight="1">
      <c r="B25" s="260" t="s">
        <v>47</v>
      </c>
      <c r="C25" s="261">
        <v>21</v>
      </c>
      <c r="D25" s="250">
        <v>0</v>
      </c>
      <c r="E25" s="264">
        <v>0</v>
      </c>
      <c r="F25" s="260" t="s">
        <v>48</v>
      </c>
      <c r="G25" s="261">
        <v>69</v>
      </c>
      <c r="H25" s="250">
        <v>0</v>
      </c>
      <c r="I25" s="264">
        <v>0</v>
      </c>
    </row>
    <row r="26" spans="2:18" ht="15" customHeight="1">
      <c r="B26" s="260" t="s">
        <v>49</v>
      </c>
      <c r="C26" s="261">
        <v>22</v>
      </c>
      <c r="D26" s="250">
        <v>0</v>
      </c>
      <c r="E26" s="264">
        <v>0</v>
      </c>
      <c r="F26" s="260" t="s">
        <v>50</v>
      </c>
      <c r="G26" s="261">
        <v>70</v>
      </c>
      <c r="H26" s="250">
        <v>0</v>
      </c>
      <c r="I26" s="264">
        <v>0</v>
      </c>
    </row>
    <row r="27" spans="2:18" ht="15" customHeight="1">
      <c r="B27" s="260" t="s">
        <v>51</v>
      </c>
      <c r="C27" s="261">
        <v>23</v>
      </c>
      <c r="D27" s="250">
        <v>0</v>
      </c>
      <c r="E27" s="264">
        <v>0</v>
      </c>
      <c r="F27" s="260" t="s">
        <v>52</v>
      </c>
      <c r="G27" s="261">
        <v>71</v>
      </c>
      <c r="H27" s="250">
        <v>0</v>
      </c>
      <c r="I27" s="264">
        <v>0</v>
      </c>
    </row>
    <row r="28" spans="2:18" ht="15" customHeight="1">
      <c r="B28" s="260" t="s">
        <v>53</v>
      </c>
      <c r="C28" s="261">
        <v>24</v>
      </c>
      <c r="D28" s="250">
        <v>1622008368.1400001</v>
      </c>
      <c r="E28" s="264">
        <v>1622008368.1400001</v>
      </c>
      <c r="F28" s="260" t="s">
        <v>54</v>
      </c>
      <c r="G28" s="261">
        <v>72</v>
      </c>
      <c r="H28" s="250">
        <v>0</v>
      </c>
      <c r="I28" s="264">
        <v>0</v>
      </c>
    </row>
    <row r="29" spans="2:18" ht="15" customHeight="1">
      <c r="B29" s="260" t="s">
        <v>55</v>
      </c>
      <c r="C29" s="261">
        <v>25</v>
      </c>
      <c r="D29" s="250">
        <v>-11566607.039999999</v>
      </c>
      <c r="E29" s="264">
        <v>-17987056.899999999</v>
      </c>
      <c r="F29" s="260" t="s">
        <v>56</v>
      </c>
      <c r="G29" s="261">
        <v>73</v>
      </c>
      <c r="H29" s="250">
        <v>0</v>
      </c>
      <c r="I29" s="264">
        <v>0</v>
      </c>
    </row>
    <row r="30" spans="2:18" ht="15" customHeight="1">
      <c r="B30" s="260" t="s">
        <v>57</v>
      </c>
      <c r="C30" s="261">
        <v>26</v>
      </c>
      <c r="D30" s="250">
        <v>0</v>
      </c>
      <c r="E30" s="264">
        <v>0</v>
      </c>
      <c r="F30" s="260" t="s">
        <v>58</v>
      </c>
      <c r="G30" s="261">
        <v>74</v>
      </c>
      <c r="H30" s="250">
        <v>0</v>
      </c>
      <c r="I30" s="264">
        <v>0</v>
      </c>
    </row>
    <row r="31" spans="2:18" ht="15" customHeight="1">
      <c r="B31" s="260" t="s">
        <v>59</v>
      </c>
      <c r="C31" s="261">
        <v>27</v>
      </c>
      <c r="D31" s="250">
        <v>1610441761.0999999</v>
      </c>
      <c r="E31" s="264">
        <v>1604021311.24</v>
      </c>
      <c r="F31" s="260" t="s">
        <v>60</v>
      </c>
      <c r="G31" s="261">
        <v>75</v>
      </c>
      <c r="H31" s="250">
        <v>1593247678.6400001</v>
      </c>
      <c r="I31" s="264">
        <v>1593247678.6400001</v>
      </c>
    </row>
    <row r="32" spans="2:18" ht="15" customHeight="1">
      <c r="B32" s="260" t="s">
        <v>61</v>
      </c>
      <c r="C32" s="261">
        <v>28</v>
      </c>
      <c r="D32" s="250">
        <v>241698896.25999999</v>
      </c>
      <c r="E32" s="264">
        <v>254267208.72</v>
      </c>
      <c r="F32" s="260"/>
      <c r="G32" s="261">
        <v>76</v>
      </c>
      <c r="H32" s="250"/>
      <c r="I32" s="264"/>
    </row>
    <row r="33" spans="2:9" ht="15" customHeight="1">
      <c r="B33" s="260" t="s">
        <v>62</v>
      </c>
      <c r="C33" s="261">
        <v>29</v>
      </c>
      <c r="D33" s="250">
        <v>0</v>
      </c>
      <c r="E33" s="264">
        <v>0</v>
      </c>
      <c r="F33" s="260"/>
      <c r="G33" s="261">
        <v>77</v>
      </c>
      <c r="H33" s="250"/>
      <c r="I33" s="264"/>
    </row>
    <row r="34" spans="2:9" ht="15" customHeight="1">
      <c r="B34" s="260" t="s">
        <v>63</v>
      </c>
      <c r="C34" s="261">
        <v>30</v>
      </c>
      <c r="D34" s="250">
        <v>0</v>
      </c>
      <c r="E34" s="264">
        <v>0</v>
      </c>
      <c r="F34" s="260" t="s">
        <v>64</v>
      </c>
      <c r="G34" s="261">
        <v>78</v>
      </c>
      <c r="H34" s="250">
        <v>1651749462.5599999</v>
      </c>
      <c r="I34" s="264">
        <v>1661616010.4400001</v>
      </c>
    </row>
    <row r="35" spans="2:9" ht="15" customHeight="1">
      <c r="B35" s="260" t="s">
        <v>65</v>
      </c>
      <c r="C35" s="261">
        <v>31</v>
      </c>
      <c r="D35" s="250">
        <v>0</v>
      </c>
      <c r="E35" s="264">
        <v>0</v>
      </c>
      <c r="F35" s="260"/>
      <c r="G35" s="261">
        <v>79</v>
      </c>
      <c r="H35" s="250"/>
      <c r="I35" s="264"/>
    </row>
    <row r="36" spans="2:9" ht="15" customHeight="1">
      <c r="B36" s="260" t="s">
        <v>66</v>
      </c>
      <c r="C36" s="261">
        <v>32</v>
      </c>
      <c r="D36" s="250">
        <v>12298070.48</v>
      </c>
      <c r="E36" s="264">
        <v>12246474.25</v>
      </c>
      <c r="F36" s="260" t="s">
        <v>67</v>
      </c>
      <c r="G36" s="261">
        <v>80</v>
      </c>
      <c r="H36" s="250"/>
      <c r="I36" s="264"/>
    </row>
    <row r="37" spans="2:9" ht="15" customHeight="1">
      <c r="B37" s="260" t="s">
        <v>68</v>
      </c>
      <c r="C37" s="261">
        <v>33</v>
      </c>
      <c r="D37" s="250">
        <v>0</v>
      </c>
      <c r="E37" s="264">
        <v>0</v>
      </c>
      <c r="F37" s="260" t="s">
        <v>69</v>
      </c>
      <c r="G37" s="261">
        <v>81</v>
      </c>
      <c r="H37" s="250">
        <v>591690000</v>
      </c>
      <c r="I37" s="264">
        <v>591690000</v>
      </c>
    </row>
    <row r="38" spans="2:9" ht="15" customHeight="1">
      <c r="B38" s="260" t="s">
        <v>70</v>
      </c>
      <c r="C38" s="261">
        <v>34</v>
      </c>
      <c r="D38" s="250">
        <v>0</v>
      </c>
      <c r="E38" s="264">
        <v>0</v>
      </c>
      <c r="F38" s="260" t="s">
        <v>71</v>
      </c>
      <c r="G38" s="261">
        <v>82</v>
      </c>
      <c r="H38" s="250">
        <v>0</v>
      </c>
      <c r="I38" s="264">
        <v>0</v>
      </c>
    </row>
    <row r="39" spans="2:9" ht="15" customHeight="1">
      <c r="B39" s="260" t="s">
        <v>72</v>
      </c>
      <c r="C39" s="261">
        <v>35</v>
      </c>
      <c r="D39" s="250">
        <v>0</v>
      </c>
      <c r="E39" s="264">
        <v>0</v>
      </c>
      <c r="F39" s="260" t="s">
        <v>73</v>
      </c>
      <c r="G39" s="261">
        <v>83</v>
      </c>
      <c r="H39" s="250">
        <v>3137978.82</v>
      </c>
      <c r="I39" s="264">
        <v>3137978.82</v>
      </c>
    </row>
    <row r="40" spans="2:9" ht="15" customHeight="1">
      <c r="B40" s="260" t="s">
        <v>74</v>
      </c>
      <c r="C40" s="261">
        <v>36</v>
      </c>
      <c r="D40" s="250">
        <v>0</v>
      </c>
      <c r="E40" s="264">
        <v>0</v>
      </c>
      <c r="F40" s="260" t="s">
        <v>75</v>
      </c>
      <c r="G40" s="261">
        <v>84</v>
      </c>
      <c r="H40" s="250">
        <v>0</v>
      </c>
      <c r="I40" s="264">
        <v>0</v>
      </c>
    </row>
    <row r="41" spans="2:9" ht="15" customHeight="1">
      <c r="B41" s="260" t="s">
        <v>76</v>
      </c>
      <c r="C41" s="261">
        <v>37</v>
      </c>
      <c r="D41" s="250">
        <v>0</v>
      </c>
      <c r="E41" s="264">
        <v>0</v>
      </c>
      <c r="F41" s="260" t="s">
        <v>77</v>
      </c>
      <c r="G41" s="261">
        <v>85</v>
      </c>
      <c r="H41" s="250">
        <v>28241809.379999999</v>
      </c>
      <c r="I41" s="264">
        <v>35067484.43</v>
      </c>
    </row>
    <row r="42" spans="2:9" ht="15" customHeight="1">
      <c r="B42" s="260" t="s">
        <v>78</v>
      </c>
      <c r="C42" s="261">
        <v>38</v>
      </c>
      <c r="D42" s="250">
        <v>1864438727.8399999</v>
      </c>
      <c r="E42" s="264">
        <v>1870534994.21</v>
      </c>
      <c r="F42" s="260" t="s">
        <v>79</v>
      </c>
      <c r="G42" s="261">
        <v>86</v>
      </c>
      <c r="H42" s="250">
        <v>623069788.20000005</v>
      </c>
      <c r="I42" s="264">
        <v>629895463.25</v>
      </c>
    </row>
    <row r="43" spans="2:9" ht="15" customHeight="1">
      <c r="B43" s="260" t="s">
        <v>80</v>
      </c>
      <c r="C43" s="261">
        <v>39</v>
      </c>
      <c r="D43" s="250">
        <v>2274819250.7600002</v>
      </c>
      <c r="E43" s="264">
        <v>2291511473.6900001</v>
      </c>
      <c r="F43" s="260" t="s">
        <v>81</v>
      </c>
      <c r="G43" s="261">
        <v>87</v>
      </c>
      <c r="H43" s="250">
        <v>2274819250.7600002</v>
      </c>
      <c r="I43" s="264">
        <v>2291511473.6900001</v>
      </c>
    </row>
    <row r="44" spans="2:9" ht="14.25" customHeight="1">
      <c r="H44" s="265"/>
      <c r="I44" s="265"/>
    </row>
    <row r="46" spans="2:9" ht="14.5">
      <c r="B46" s="242" t="s">
        <v>0</v>
      </c>
    </row>
    <row r="47" spans="2:9" ht="14.5">
      <c r="B47" s="242" t="s">
        <v>1</v>
      </c>
      <c r="C47" s="259"/>
      <c r="F47" s="241"/>
      <c r="G47" s="259"/>
    </row>
    <row r="48" spans="2:9" ht="14.5">
      <c r="B48" s="242" t="s">
        <v>82</v>
      </c>
      <c r="C48" s="259"/>
      <c r="F48" s="241"/>
      <c r="G48" s="259"/>
    </row>
    <row r="49" spans="2:9" ht="14.5">
      <c r="B49" s="245" t="s">
        <v>3</v>
      </c>
      <c r="C49" s="245" t="s">
        <v>4</v>
      </c>
      <c r="D49" s="245" t="s">
        <v>5</v>
      </c>
      <c r="E49" s="245" t="s">
        <v>6</v>
      </c>
      <c r="F49" s="245" t="s">
        <v>3</v>
      </c>
      <c r="G49" s="245" t="s">
        <v>4</v>
      </c>
      <c r="H49" s="245" t="s">
        <v>5</v>
      </c>
      <c r="I49" s="245" t="s">
        <v>6</v>
      </c>
    </row>
    <row r="50" spans="2:9" ht="14.5">
      <c r="B50" s="260" t="s">
        <v>7</v>
      </c>
      <c r="C50" s="261">
        <v>1</v>
      </c>
      <c r="D50" s="262"/>
      <c r="E50" s="262"/>
      <c r="F50" s="260" t="s">
        <v>8</v>
      </c>
      <c r="G50" s="261"/>
      <c r="H50" s="263"/>
      <c r="I50" s="263"/>
    </row>
    <row r="51" spans="2:9" ht="14.5">
      <c r="B51" s="260" t="s">
        <v>9</v>
      </c>
      <c r="C51" s="261">
        <v>2</v>
      </c>
      <c r="D51" s="250">
        <v>305592.95</v>
      </c>
      <c r="E51" s="250">
        <v>3171543.1</v>
      </c>
      <c r="F51" s="260" t="s">
        <v>10</v>
      </c>
      <c r="G51" s="261">
        <v>50</v>
      </c>
      <c r="H51" s="250">
        <v>0</v>
      </c>
      <c r="I51" s="250">
        <v>0</v>
      </c>
    </row>
    <row r="52" spans="2:9" ht="14.5">
      <c r="B52" s="260" t="s">
        <v>11</v>
      </c>
      <c r="C52" s="261">
        <v>3</v>
      </c>
      <c r="D52" s="250">
        <v>0</v>
      </c>
      <c r="E52" s="250">
        <v>0</v>
      </c>
      <c r="F52" s="260" t="s">
        <v>12</v>
      </c>
      <c r="G52" s="261">
        <v>51</v>
      </c>
      <c r="H52" s="250">
        <v>0</v>
      </c>
      <c r="I52" s="250">
        <v>0</v>
      </c>
    </row>
    <row r="53" spans="2:9" ht="14.5">
      <c r="B53" s="260" t="s">
        <v>13</v>
      </c>
      <c r="C53" s="261">
        <v>4</v>
      </c>
      <c r="D53" s="250">
        <v>0</v>
      </c>
      <c r="E53" s="250">
        <v>0</v>
      </c>
      <c r="F53" s="260" t="s">
        <v>14</v>
      </c>
      <c r="G53" s="261">
        <v>52</v>
      </c>
      <c r="H53" s="250">
        <v>0</v>
      </c>
      <c r="I53" s="250">
        <v>0</v>
      </c>
    </row>
    <row r="54" spans="2:9" ht="14.5">
      <c r="B54" s="260" t="s">
        <v>15</v>
      </c>
      <c r="C54" s="261">
        <v>5</v>
      </c>
      <c r="D54" s="250">
        <v>0</v>
      </c>
      <c r="E54" s="250">
        <v>0</v>
      </c>
      <c r="F54" s="260" t="s">
        <v>16</v>
      </c>
      <c r="G54" s="261">
        <v>53</v>
      </c>
      <c r="H54" s="250">
        <v>80954845.189999998</v>
      </c>
      <c r="I54" s="250">
        <v>81068865.819999993</v>
      </c>
    </row>
    <row r="55" spans="2:9" ht="14.5">
      <c r="B55" s="260" t="s">
        <v>17</v>
      </c>
      <c r="C55" s="261">
        <v>6</v>
      </c>
      <c r="D55" s="250">
        <v>45946754.07</v>
      </c>
      <c r="E55" s="250">
        <v>80201367.569999993</v>
      </c>
      <c r="F55" s="260" t="s">
        <v>18</v>
      </c>
      <c r="G55" s="261">
        <v>54</v>
      </c>
      <c r="H55" s="250">
        <v>0</v>
      </c>
      <c r="I55" s="250">
        <v>0</v>
      </c>
    </row>
    <row r="56" spans="2:9" ht="14.5">
      <c r="B56" s="260" t="s">
        <v>19</v>
      </c>
      <c r="C56" s="261">
        <v>7</v>
      </c>
      <c r="D56" s="250">
        <v>0</v>
      </c>
      <c r="E56" s="250">
        <v>0</v>
      </c>
      <c r="F56" s="260" t="s">
        <v>20</v>
      </c>
      <c r="G56" s="261">
        <v>55</v>
      </c>
      <c r="H56" s="250">
        <v>0</v>
      </c>
      <c r="I56" s="250">
        <v>0</v>
      </c>
    </row>
    <row r="57" spans="2:9" ht="14.5">
      <c r="B57" s="260" t="s">
        <v>21</v>
      </c>
      <c r="C57" s="261">
        <v>8</v>
      </c>
      <c r="D57" s="250">
        <v>347802921.68000001</v>
      </c>
      <c r="E57" s="250">
        <v>336425571.32999998</v>
      </c>
      <c r="F57" s="260" t="s">
        <v>22</v>
      </c>
      <c r="G57" s="261">
        <v>56</v>
      </c>
      <c r="H57" s="250">
        <v>0</v>
      </c>
      <c r="I57" s="250">
        <v>0</v>
      </c>
    </row>
    <row r="58" spans="2:9" ht="14.5">
      <c r="B58" s="260" t="s">
        <v>23</v>
      </c>
      <c r="C58" s="261">
        <v>9</v>
      </c>
      <c r="D58" s="250">
        <v>0</v>
      </c>
      <c r="E58" s="250">
        <v>0</v>
      </c>
      <c r="F58" s="260" t="s">
        <v>24</v>
      </c>
      <c r="G58" s="261">
        <v>57</v>
      </c>
      <c r="H58" s="250">
        <v>-194808954.12</v>
      </c>
      <c r="I58" s="250">
        <v>-190560359.09999999</v>
      </c>
    </row>
    <row r="59" spans="2:9" ht="14.5">
      <c r="B59" s="260" t="s">
        <v>25</v>
      </c>
      <c r="C59" s="261">
        <v>10</v>
      </c>
      <c r="D59" s="250">
        <v>0</v>
      </c>
      <c r="E59" s="250">
        <v>0</v>
      </c>
      <c r="F59" s="260" t="s">
        <v>26</v>
      </c>
      <c r="G59" s="261">
        <v>58</v>
      </c>
      <c r="H59" s="250">
        <v>1922871.49</v>
      </c>
      <c r="I59" s="250">
        <v>12236454.98</v>
      </c>
    </row>
    <row r="60" spans="2:9" ht="14.5">
      <c r="B60" s="260" t="s">
        <v>27</v>
      </c>
      <c r="C60" s="261">
        <v>11</v>
      </c>
      <c r="D60" s="250">
        <v>40000</v>
      </c>
      <c r="E60" s="250">
        <v>0</v>
      </c>
      <c r="F60" s="260"/>
      <c r="G60" s="261">
        <v>59</v>
      </c>
      <c r="H60" s="250"/>
      <c r="I60" s="250"/>
    </row>
    <row r="61" spans="2:9" ht="14.5">
      <c r="B61" s="260" t="s">
        <v>28</v>
      </c>
      <c r="C61" s="261">
        <v>12</v>
      </c>
      <c r="D61" s="250">
        <v>0</v>
      </c>
      <c r="E61" s="250">
        <v>0</v>
      </c>
      <c r="F61" s="260" t="s">
        <v>29</v>
      </c>
      <c r="G61" s="261">
        <v>60</v>
      </c>
      <c r="H61" s="250">
        <v>0</v>
      </c>
      <c r="I61" s="250">
        <v>0</v>
      </c>
    </row>
    <row r="62" spans="2:9" ht="14.5">
      <c r="B62" s="260" t="s">
        <v>30</v>
      </c>
      <c r="C62" s="261">
        <v>13</v>
      </c>
      <c r="D62" s="250">
        <v>0</v>
      </c>
      <c r="E62" s="250">
        <v>0</v>
      </c>
      <c r="F62" s="260" t="s">
        <v>31</v>
      </c>
      <c r="G62" s="261">
        <v>61</v>
      </c>
      <c r="H62" s="250">
        <v>48600700</v>
      </c>
      <c r="I62" s="250">
        <v>50600700</v>
      </c>
    </row>
    <row r="63" spans="2:9" ht="14.5">
      <c r="B63" s="260" t="s">
        <v>32</v>
      </c>
      <c r="C63" s="261">
        <v>14</v>
      </c>
      <c r="D63" s="250">
        <v>0</v>
      </c>
      <c r="E63" s="250">
        <v>0</v>
      </c>
      <c r="F63" s="260" t="s">
        <v>33</v>
      </c>
      <c r="G63" s="261">
        <v>62</v>
      </c>
      <c r="H63" s="250">
        <v>0</v>
      </c>
      <c r="I63" s="250">
        <v>0</v>
      </c>
    </row>
    <row r="64" spans="2:9" ht="14.5">
      <c r="B64" s="260" t="s">
        <v>34</v>
      </c>
      <c r="C64" s="261">
        <v>15</v>
      </c>
      <c r="D64" s="250">
        <v>16285254.220000001</v>
      </c>
      <c r="E64" s="250">
        <v>17842964.780000001</v>
      </c>
      <c r="F64" s="260" t="s">
        <v>35</v>
      </c>
      <c r="G64" s="261">
        <v>63</v>
      </c>
      <c r="H64" s="250">
        <v>121832321.36</v>
      </c>
      <c r="I64" s="250">
        <v>121832321.36</v>
      </c>
    </row>
    <row r="65" spans="2:9" ht="14.5">
      <c r="B65" s="260" t="s">
        <v>36</v>
      </c>
      <c r="C65" s="261">
        <v>16</v>
      </c>
      <c r="D65" s="250">
        <v>410380522.92000002</v>
      </c>
      <c r="E65" s="250">
        <v>437641446.77999997</v>
      </c>
      <c r="F65" s="260" t="s">
        <v>37</v>
      </c>
      <c r="G65" s="261">
        <v>64</v>
      </c>
      <c r="H65" s="250">
        <v>0</v>
      </c>
      <c r="I65" s="250">
        <v>0</v>
      </c>
    </row>
    <row r="66" spans="2:9" ht="14.5">
      <c r="B66" s="260" t="s">
        <v>38</v>
      </c>
      <c r="C66" s="261">
        <v>17</v>
      </c>
      <c r="D66" s="250"/>
      <c r="E66" s="250"/>
      <c r="F66" s="260" t="s">
        <v>39</v>
      </c>
      <c r="G66" s="261">
        <v>65</v>
      </c>
      <c r="H66" s="250">
        <v>58501783.920000002</v>
      </c>
      <c r="I66" s="250">
        <v>75177983.060000002</v>
      </c>
    </row>
    <row r="67" spans="2:9" ht="14.5">
      <c r="B67" s="260" t="s">
        <v>40</v>
      </c>
      <c r="C67" s="261">
        <v>18</v>
      </c>
      <c r="D67" s="250">
        <v>0</v>
      </c>
      <c r="E67" s="250">
        <v>0</v>
      </c>
      <c r="F67" s="260" t="s">
        <v>41</v>
      </c>
      <c r="G67" s="261">
        <v>66</v>
      </c>
      <c r="H67" s="250"/>
      <c r="I67" s="250"/>
    </row>
    <row r="68" spans="2:9" ht="14.5">
      <c r="B68" s="260" t="s">
        <v>42</v>
      </c>
      <c r="C68" s="261">
        <v>19</v>
      </c>
      <c r="D68" s="250">
        <v>0</v>
      </c>
      <c r="E68" s="250">
        <v>0</v>
      </c>
      <c r="F68" s="260" t="s">
        <v>43</v>
      </c>
      <c r="G68" s="261">
        <v>67</v>
      </c>
      <c r="H68" s="250">
        <v>1593247678.6400001</v>
      </c>
      <c r="I68" s="250">
        <v>1593247678.6400001</v>
      </c>
    </row>
    <row r="69" spans="2:9" ht="14.5">
      <c r="B69" s="260" t="s">
        <v>44</v>
      </c>
      <c r="C69" s="261">
        <v>20</v>
      </c>
      <c r="D69" s="250">
        <v>0</v>
      </c>
      <c r="E69" s="250">
        <v>0</v>
      </c>
      <c r="F69" s="260" t="s">
        <v>45</v>
      </c>
      <c r="G69" s="261">
        <v>68</v>
      </c>
      <c r="H69" s="250">
        <v>0</v>
      </c>
      <c r="I69" s="250">
        <v>0</v>
      </c>
    </row>
    <row r="70" spans="2:9" ht="14.5">
      <c r="B70" s="260" t="s">
        <v>47</v>
      </c>
      <c r="C70" s="261">
        <v>21</v>
      </c>
      <c r="D70" s="250">
        <v>0</v>
      </c>
      <c r="E70" s="250">
        <v>0</v>
      </c>
      <c r="F70" s="260" t="s">
        <v>48</v>
      </c>
      <c r="G70" s="261">
        <v>69</v>
      </c>
      <c r="H70" s="250">
        <v>0</v>
      </c>
      <c r="I70" s="250">
        <v>0</v>
      </c>
    </row>
    <row r="71" spans="2:9" ht="14.5">
      <c r="B71" s="260" t="s">
        <v>49</v>
      </c>
      <c r="C71" s="261">
        <v>22</v>
      </c>
      <c r="D71" s="250">
        <v>0</v>
      </c>
      <c r="E71" s="250">
        <v>0</v>
      </c>
      <c r="F71" s="260" t="s">
        <v>50</v>
      </c>
      <c r="G71" s="261">
        <v>70</v>
      </c>
      <c r="H71" s="250">
        <v>0</v>
      </c>
      <c r="I71" s="250">
        <v>0</v>
      </c>
    </row>
    <row r="72" spans="2:9" ht="14.5">
      <c r="B72" s="260" t="s">
        <v>51</v>
      </c>
      <c r="C72" s="261">
        <v>23</v>
      </c>
      <c r="D72" s="250">
        <v>0</v>
      </c>
      <c r="E72" s="250">
        <v>0</v>
      </c>
      <c r="F72" s="260" t="s">
        <v>52</v>
      </c>
      <c r="G72" s="261">
        <v>71</v>
      </c>
      <c r="H72" s="250">
        <v>0</v>
      </c>
      <c r="I72" s="250">
        <v>0</v>
      </c>
    </row>
    <row r="73" spans="2:9" ht="14.5">
      <c r="B73" s="260" t="s">
        <v>53</v>
      </c>
      <c r="C73" s="261">
        <v>24</v>
      </c>
      <c r="D73" s="250">
        <v>1622008368.1400001</v>
      </c>
      <c r="E73" s="250">
        <v>1622008368.1400001</v>
      </c>
      <c r="F73" s="260" t="s">
        <v>54</v>
      </c>
      <c r="G73" s="261">
        <v>72</v>
      </c>
      <c r="H73" s="250">
        <v>0</v>
      </c>
      <c r="I73" s="250">
        <v>0</v>
      </c>
    </row>
    <row r="74" spans="2:9" ht="14.5">
      <c r="B74" s="260" t="s">
        <v>55</v>
      </c>
      <c r="C74" s="261">
        <v>25</v>
      </c>
      <c r="D74" s="250">
        <v>-11566607.039999999</v>
      </c>
      <c r="E74" s="250">
        <v>-24407506.710000001</v>
      </c>
      <c r="F74" s="260" t="s">
        <v>56</v>
      </c>
      <c r="G74" s="261">
        <v>73</v>
      </c>
      <c r="H74" s="250">
        <v>0</v>
      </c>
      <c r="I74" s="250">
        <v>0</v>
      </c>
    </row>
    <row r="75" spans="2:9" ht="14.5">
      <c r="B75" s="260" t="s">
        <v>57</v>
      </c>
      <c r="C75" s="261">
        <v>26</v>
      </c>
      <c r="D75" s="250">
        <v>0</v>
      </c>
      <c r="E75" s="250">
        <v>0</v>
      </c>
      <c r="F75" s="260" t="s">
        <v>58</v>
      </c>
      <c r="G75" s="261">
        <v>74</v>
      </c>
      <c r="H75" s="250">
        <v>0</v>
      </c>
      <c r="I75" s="250">
        <v>0</v>
      </c>
    </row>
    <row r="76" spans="2:9" ht="14.5">
      <c r="B76" s="260" t="s">
        <v>59</v>
      </c>
      <c r="C76" s="261">
        <v>27</v>
      </c>
      <c r="D76" s="250">
        <v>1610441761.0999999</v>
      </c>
      <c r="E76" s="250">
        <v>1597600861.4300001</v>
      </c>
      <c r="F76" s="260" t="s">
        <v>60</v>
      </c>
      <c r="G76" s="261">
        <v>75</v>
      </c>
      <c r="H76" s="250">
        <v>1593247678.6400001</v>
      </c>
      <c r="I76" s="250">
        <v>1593247678.6400001</v>
      </c>
    </row>
    <row r="77" spans="2:9" ht="14.5">
      <c r="B77" s="260" t="s">
        <v>61</v>
      </c>
      <c r="C77" s="261">
        <v>28</v>
      </c>
      <c r="D77" s="250">
        <v>241698896.25999999</v>
      </c>
      <c r="E77" s="250">
        <v>255383612.77000001</v>
      </c>
      <c r="F77" s="260"/>
      <c r="G77" s="261">
        <v>76</v>
      </c>
      <c r="H77" s="250"/>
      <c r="I77" s="250"/>
    </row>
    <row r="78" spans="2:9" ht="14.5">
      <c r="B78" s="260" t="s">
        <v>62</v>
      </c>
      <c r="C78" s="261">
        <v>29</v>
      </c>
      <c r="D78" s="250">
        <v>0</v>
      </c>
      <c r="E78" s="250">
        <v>0</v>
      </c>
      <c r="F78" s="260"/>
      <c r="G78" s="261">
        <v>77</v>
      </c>
      <c r="H78" s="250"/>
      <c r="I78" s="250"/>
    </row>
    <row r="79" spans="2:9" ht="14.5">
      <c r="B79" s="260" t="s">
        <v>63</v>
      </c>
      <c r="C79" s="261">
        <v>30</v>
      </c>
      <c r="D79" s="250">
        <v>0</v>
      </c>
      <c r="E79" s="250">
        <v>0</v>
      </c>
      <c r="F79" s="260" t="s">
        <v>64</v>
      </c>
      <c r="G79" s="261">
        <v>78</v>
      </c>
      <c r="H79" s="250">
        <v>1651749462.5599999</v>
      </c>
      <c r="I79" s="250">
        <v>1668425661.7</v>
      </c>
    </row>
    <row r="80" spans="2:9" ht="14.5">
      <c r="B80" s="260" t="s">
        <v>65</v>
      </c>
      <c r="C80" s="261">
        <v>31</v>
      </c>
      <c r="D80" s="250">
        <v>0</v>
      </c>
      <c r="E80" s="250">
        <v>0</v>
      </c>
      <c r="F80" s="260"/>
      <c r="G80" s="261">
        <v>79</v>
      </c>
      <c r="H80" s="250"/>
      <c r="I80" s="250"/>
    </row>
    <row r="81" spans="2:9" ht="14.5">
      <c r="B81" s="260" t="s">
        <v>66</v>
      </c>
      <c r="C81" s="261">
        <v>32</v>
      </c>
      <c r="D81" s="250">
        <v>12298070.48</v>
      </c>
      <c r="E81" s="250">
        <v>12194878.02</v>
      </c>
      <c r="F81" s="260" t="s">
        <v>67</v>
      </c>
      <c r="G81" s="261">
        <v>80</v>
      </c>
      <c r="H81" s="250"/>
      <c r="I81" s="250"/>
    </row>
    <row r="82" spans="2:9" ht="14.5">
      <c r="B82" s="260" t="s">
        <v>68</v>
      </c>
      <c r="C82" s="261">
        <v>33</v>
      </c>
      <c r="D82" s="250">
        <v>0</v>
      </c>
      <c r="E82" s="250">
        <v>0</v>
      </c>
      <c r="F82" s="260" t="s">
        <v>69</v>
      </c>
      <c r="G82" s="261">
        <v>81</v>
      </c>
      <c r="H82" s="250">
        <v>591690000</v>
      </c>
      <c r="I82" s="250">
        <v>591690000</v>
      </c>
    </row>
    <row r="83" spans="2:9" ht="14.5">
      <c r="B83" s="260" t="s">
        <v>70</v>
      </c>
      <c r="C83" s="261">
        <v>34</v>
      </c>
      <c r="D83" s="250">
        <v>0</v>
      </c>
      <c r="E83" s="250">
        <v>0</v>
      </c>
      <c r="F83" s="260" t="s">
        <v>71</v>
      </c>
      <c r="G83" s="261">
        <v>82</v>
      </c>
      <c r="H83" s="250">
        <v>0</v>
      </c>
      <c r="I83" s="250">
        <v>0</v>
      </c>
    </row>
    <row r="84" spans="2:9" ht="14.5">
      <c r="B84" s="260" t="s">
        <v>72</v>
      </c>
      <c r="C84" s="261">
        <v>35</v>
      </c>
      <c r="D84" s="250">
        <v>0</v>
      </c>
      <c r="E84" s="250">
        <v>0</v>
      </c>
      <c r="F84" s="260" t="s">
        <v>73</v>
      </c>
      <c r="G84" s="261">
        <v>83</v>
      </c>
      <c r="H84" s="250">
        <v>3137978.82</v>
      </c>
      <c r="I84" s="250">
        <v>3137978.82</v>
      </c>
    </row>
    <row r="85" spans="2:9" ht="14.5">
      <c r="B85" s="260" t="s">
        <v>74</v>
      </c>
      <c r="C85" s="261">
        <v>36</v>
      </c>
      <c r="D85" s="250">
        <v>0</v>
      </c>
      <c r="E85" s="250">
        <v>0</v>
      </c>
      <c r="F85" s="260" t="s">
        <v>75</v>
      </c>
      <c r="G85" s="261">
        <v>84</v>
      </c>
      <c r="H85" s="250">
        <v>0</v>
      </c>
      <c r="I85" s="250">
        <v>0</v>
      </c>
    </row>
    <row r="86" spans="2:9" ht="14.5">
      <c r="B86" s="260" t="s">
        <v>76</v>
      </c>
      <c r="C86" s="261">
        <v>37</v>
      </c>
      <c r="D86" s="250">
        <v>0</v>
      </c>
      <c r="E86" s="250">
        <v>0</v>
      </c>
      <c r="F86" s="260" t="s">
        <v>77</v>
      </c>
      <c r="G86" s="261">
        <v>85</v>
      </c>
      <c r="H86" s="250">
        <v>28241809.379999999</v>
      </c>
      <c r="I86" s="250">
        <v>39567158.479999997</v>
      </c>
    </row>
    <row r="87" spans="2:9" ht="14.5">
      <c r="B87" s="260" t="s">
        <v>78</v>
      </c>
      <c r="C87" s="261">
        <v>38</v>
      </c>
      <c r="D87" s="250">
        <v>1864438727.8399999</v>
      </c>
      <c r="E87" s="250">
        <v>1865179352.22</v>
      </c>
      <c r="F87" s="260" t="s">
        <v>79</v>
      </c>
      <c r="G87" s="261">
        <v>86</v>
      </c>
      <c r="H87" s="250">
        <v>623069788.20000005</v>
      </c>
      <c r="I87" s="250">
        <v>634395137.29999995</v>
      </c>
    </row>
    <row r="88" spans="2:9" ht="14.5">
      <c r="B88" s="260" t="s">
        <v>80</v>
      </c>
      <c r="C88" s="261">
        <v>39</v>
      </c>
      <c r="D88" s="250">
        <v>2274819250.7600002</v>
      </c>
      <c r="E88" s="250">
        <v>2302820799</v>
      </c>
      <c r="F88" s="260" t="s">
        <v>81</v>
      </c>
      <c r="G88" s="261">
        <v>87</v>
      </c>
      <c r="H88" s="250">
        <v>2274819250.7600002</v>
      </c>
      <c r="I88" s="250">
        <v>2302820799</v>
      </c>
    </row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93"/>
  <sheetViews>
    <sheetView topLeftCell="B31" zoomScale="70" zoomScaleNormal="70" workbookViewId="0">
      <selection activeCell="D48" sqref="D48"/>
    </sheetView>
  </sheetViews>
  <sheetFormatPr defaultColWidth="9" defaultRowHeight="14"/>
  <cols>
    <col min="1" max="1" width="8" hidden="1" customWidth="1"/>
    <col min="2" max="2" width="32.08203125" customWidth="1"/>
    <col min="3" max="3" width="3" customWidth="1"/>
    <col min="4" max="5" width="19.25" customWidth="1"/>
    <col min="6" max="6" width="12.75" customWidth="1"/>
    <col min="9" max="9" width="13.6640625" customWidth="1"/>
    <col min="10" max="10" width="19.25" style="240" customWidth="1"/>
  </cols>
  <sheetData>
    <row r="1" spans="1:10" ht="14.5">
      <c r="A1" s="241"/>
      <c r="B1" s="242" t="s">
        <v>83</v>
      </c>
      <c r="D1" s="243"/>
      <c r="E1" s="244"/>
      <c r="F1" s="244"/>
    </row>
    <row r="2" spans="1:10" ht="14.5">
      <c r="A2" s="241" t="s">
        <v>84</v>
      </c>
      <c r="B2" s="242" t="s">
        <v>1</v>
      </c>
    </row>
    <row r="3" spans="1:10" ht="14.5">
      <c r="B3" s="242" t="s">
        <v>2</v>
      </c>
      <c r="D3" s="243"/>
    </row>
    <row r="4" spans="1:10" ht="14.5">
      <c r="A4" s="241">
        <v>2024.1</v>
      </c>
      <c r="B4" s="245" t="s">
        <v>3</v>
      </c>
      <c r="C4" s="245"/>
      <c r="D4" s="246" t="s">
        <v>85</v>
      </c>
      <c r="E4" s="245" t="s">
        <v>86</v>
      </c>
      <c r="F4" s="247"/>
      <c r="I4" t="s">
        <v>87</v>
      </c>
      <c r="J4" s="231" t="s">
        <v>88</v>
      </c>
    </row>
    <row r="5" spans="1:10" ht="14.5">
      <c r="A5" s="241" t="s">
        <v>89</v>
      </c>
      <c r="B5" s="248" t="s">
        <v>90</v>
      </c>
      <c r="C5" s="249">
        <v>1</v>
      </c>
      <c r="D5" s="250">
        <f t="shared" ref="D5:D30" si="0">IF(RIGHT($B$3,2)="01",E5,E5-F5)</f>
        <v>18613556.690000001</v>
      </c>
      <c r="E5" s="251">
        <v>18613556.690000001</v>
      </c>
      <c r="F5" s="252"/>
      <c r="H5" t="s">
        <v>91</v>
      </c>
      <c r="I5" s="33">
        <v>73719.56</v>
      </c>
      <c r="J5" s="254">
        <v>9583.5499999999993</v>
      </c>
    </row>
    <row r="6" spans="1:10" ht="14.5">
      <c r="A6" s="241" t="str">
        <f>RIGHT(A4,2)</f>
        <v>.1</v>
      </c>
      <c r="B6" s="248" t="s">
        <v>92</v>
      </c>
      <c r="C6" s="249">
        <v>2</v>
      </c>
      <c r="D6" s="250">
        <f t="shared" si="0"/>
        <v>18613556.690000001</v>
      </c>
      <c r="E6" s="251">
        <v>18613556.690000001</v>
      </c>
      <c r="F6" s="252"/>
      <c r="G6" s="244"/>
      <c r="H6" t="s">
        <v>93</v>
      </c>
      <c r="I6" s="33">
        <v>18539837.129999999</v>
      </c>
      <c r="J6" s="255">
        <v>2410178.83</v>
      </c>
    </row>
    <row r="7" spans="1:10" ht="14.5">
      <c r="B7" s="248" t="s">
        <v>94</v>
      </c>
      <c r="C7" s="249">
        <v>3</v>
      </c>
      <c r="D7" s="250">
        <f t="shared" si="0"/>
        <v>18613556.690000001</v>
      </c>
      <c r="E7" s="251">
        <v>18613556.690000001</v>
      </c>
      <c r="F7" s="252"/>
      <c r="I7" s="21">
        <f>SUM(I5:I6)</f>
        <v>18613556.689999998</v>
      </c>
      <c r="J7" s="256">
        <f>J5+J6</f>
        <v>2419762.38</v>
      </c>
    </row>
    <row r="8" spans="1:10" ht="14.5">
      <c r="B8" s="248" t="s">
        <v>95</v>
      </c>
      <c r="C8" s="249">
        <v>4</v>
      </c>
      <c r="D8" s="250">
        <f t="shared" si="0"/>
        <v>0</v>
      </c>
      <c r="E8" s="251">
        <v>0</v>
      </c>
      <c r="F8" s="252"/>
    </row>
    <row r="9" spans="1:10" ht="14.5">
      <c r="B9" s="248" t="s">
        <v>96</v>
      </c>
      <c r="C9" s="249">
        <v>5</v>
      </c>
      <c r="D9" s="250">
        <f t="shared" si="0"/>
        <v>11787881.640000001</v>
      </c>
      <c r="E9" s="251">
        <f>E10+E13+E14+E15+E16+E17+E20+E21+E22+E23+E24</f>
        <v>11787881.640000001</v>
      </c>
      <c r="F9" s="252"/>
    </row>
    <row r="10" spans="1:10" ht="14.5">
      <c r="B10" s="248" t="s">
        <v>97</v>
      </c>
      <c r="C10" s="249">
        <v>6</v>
      </c>
      <c r="D10" s="250">
        <f t="shared" si="0"/>
        <v>6947743.1100000003</v>
      </c>
      <c r="E10" s="251">
        <v>6947743.1100000003</v>
      </c>
      <c r="F10" s="252"/>
    </row>
    <row r="11" spans="1:10" ht="14.5">
      <c r="B11" s="248" t="s">
        <v>98</v>
      </c>
      <c r="C11" s="249">
        <v>7</v>
      </c>
      <c r="D11" s="250">
        <f t="shared" si="0"/>
        <v>6947743.1100000003</v>
      </c>
      <c r="E11" s="251">
        <v>6947743.1100000003</v>
      </c>
      <c r="F11" s="252"/>
    </row>
    <row r="12" spans="1:10" ht="14.5">
      <c r="B12" s="248" t="s">
        <v>99</v>
      </c>
      <c r="C12" s="249">
        <v>8</v>
      </c>
      <c r="D12" s="250">
        <f t="shared" si="0"/>
        <v>0</v>
      </c>
      <c r="E12" s="251">
        <v>0</v>
      </c>
      <c r="F12" s="252"/>
    </row>
    <row r="13" spans="1:10" ht="14.5">
      <c r="B13" s="248" t="s">
        <v>100</v>
      </c>
      <c r="C13" s="249">
        <v>9</v>
      </c>
      <c r="D13" s="250">
        <f t="shared" si="0"/>
        <v>37307.89</v>
      </c>
      <c r="E13" s="251">
        <v>37307.89</v>
      </c>
      <c r="F13" s="252"/>
    </row>
    <row r="14" spans="1:10" ht="14.5">
      <c r="B14" s="248" t="s">
        <v>101</v>
      </c>
      <c r="C14" s="249">
        <v>10</v>
      </c>
      <c r="D14" s="250">
        <f t="shared" si="0"/>
        <v>0</v>
      </c>
      <c r="E14" s="251">
        <v>0</v>
      </c>
      <c r="F14" s="252"/>
    </row>
    <row r="15" spans="1:10" ht="14.5">
      <c r="B15" s="248" t="s">
        <v>102</v>
      </c>
      <c r="C15" s="249">
        <v>11</v>
      </c>
      <c r="D15" s="250">
        <f t="shared" si="0"/>
        <v>30593.09</v>
      </c>
      <c r="E15" s="251">
        <v>30593.09</v>
      </c>
      <c r="F15" s="252"/>
    </row>
    <row r="16" spans="1:10" ht="14.5">
      <c r="B16" s="248" t="s">
        <v>103</v>
      </c>
      <c r="C16" s="249">
        <v>12</v>
      </c>
      <c r="D16" s="250">
        <f t="shared" si="0"/>
        <v>0</v>
      </c>
      <c r="E16" s="251">
        <v>0</v>
      </c>
      <c r="F16" s="252"/>
    </row>
    <row r="17" spans="1:6" ht="14.5">
      <c r="B17" s="248" t="s">
        <v>104</v>
      </c>
      <c r="C17" s="249">
        <v>13</v>
      </c>
      <c r="D17" s="250">
        <f t="shared" si="0"/>
        <v>4772237.55</v>
      </c>
      <c r="E17" s="251">
        <v>4772237.55</v>
      </c>
      <c r="F17" s="252"/>
    </row>
    <row r="18" spans="1:6" ht="14.5">
      <c r="B18" s="248" t="s">
        <v>105</v>
      </c>
      <c r="C18" s="249">
        <v>14</v>
      </c>
      <c r="D18" s="250">
        <f t="shared" si="0"/>
        <v>0</v>
      </c>
      <c r="E18" s="251">
        <v>0</v>
      </c>
      <c r="F18" s="252"/>
    </row>
    <row r="19" spans="1:6" ht="14.5">
      <c r="B19" s="248" t="s">
        <v>106</v>
      </c>
      <c r="C19" s="249">
        <v>15</v>
      </c>
      <c r="D19" s="250">
        <f t="shared" si="0"/>
        <v>0</v>
      </c>
      <c r="E19" s="251">
        <v>0</v>
      </c>
      <c r="F19" s="252"/>
    </row>
    <row r="20" spans="1:6" ht="14.5">
      <c r="B20" s="248" t="s">
        <v>107</v>
      </c>
      <c r="C20" s="249">
        <v>16</v>
      </c>
      <c r="D20" s="250">
        <f t="shared" si="0"/>
        <v>0</v>
      </c>
      <c r="E20" s="251">
        <v>0</v>
      </c>
      <c r="F20" s="252"/>
    </row>
    <row r="21" spans="1:6" ht="14.5">
      <c r="B21" s="248" t="s">
        <v>108</v>
      </c>
      <c r="C21" s="249">
        <v>17</v>
      </c>
      <c r="D21" s="250">
        <f t="shared" si="0"/>
        <v>0</v>
      </c>
      <c r="E21" s="251">
        <v>0</v>
      </c>
      <c r="F21" s="252"/>
    </row>
    <row r="22" spans="1:6" ht="14.5">
      <c r="B22" s="248" t="s">
        <v>109</v>
      </c>
      <c r="C22" s="249">
        <v>18</v>
      </c>
      <c r="D22" s="250">
        <f t="shared" si="0"/>
        <v>0</v>
      </c>
      <c r="E22" s="251">
        <v>0</v>
      </c>
      <c r="F22" s="252"/>
    </row>
    <row r="23" spans="1:6" ht="14.5">
      <c r="B23" s="248" t="s">
        <v>110</v>
      </c>
      <c r="C23" s="249">
        <v>19</v>
      </c>
      <c r="D23" s="250">
        <f t="shared" si="0"/>
        <v>0</v>
      </c>
      <c r="E23" s="251">
        <v>0</v>
      </c>
      <c r="F23" s="252"/>
    </row>
    <row r="24" spans="1:6" ht="14.5">
      <c r="B24" s="248" t="s">
        <v>111</v>
      </c>
      <c r="C24" s="249">
        <v>20</v>
      </c>
      <c r="D24" s="250">
        <f t="shared" si="0"/>
        <v>0</v>
      </c>
      <c r="E24" s="251">
        <v>0</v>
      </c>
      <c r="F24" s="252"/>
    </row>
    <row r="25" spans="1:6" ht="14.5">
      <c r="B25" s="248" t="s">
        <v>112</v>
      </c>
      <c r="C25" s="249">
        <v>21</v>
      </c>
      <c r="D25" s="250">
        <f t="shared" si="0"/>
        <v>6825675.0499999998</v>
      </c>
      <c r="E25" s="251">
        <v>6825675.0499999998</v>
      </c>
      <c r="F25" s="252"/>
    </row>
    <row r="26" spans="1:6" ht="14.5">
      <c r="B26" s="248" t="s">
        <v>113</v>
      </c>
      <c r="C26" s="249">
        <v>22</v>
      </c>
      <c r="D26" s="250">
        <f t="shared" si="0"/>
        <v>0</v>
      </c>
      <c r="E26" s="251">
        <v>0</v>
      </c>
      <c r="F26" s="252"/>
    </row>
    <row r="27" spans="1:6" ht="14.5">
      <c r="B27" s="248" t="s">
        <v>114</v>
      </c>
      <c r="C27" s="249">
        <v>23</v>
      </c>
      <c r="D27" s="250">
        <f t="shared" si="0"/>
        <v>0</v>
      </c>
      <c r="E27" s="251">
        <v>0</v>
      </c>
      <c r="F27" s="252"/>
    </row>
    <row r="28" spans="1:6" ht="14.5">
      <c r="B28" s="248" t="s">
        <v>115</v>
      </c>
      <c r="C28" s="249">
        <v>24</v>
      </c>
      <c r="D28" s="250">
        <f t="shared" si="0"/>
        <v>6825675.0499999998</v>
      </c>
      <c r="E28" s="251">
        <v>6825675.0499999998</v>
      </c>
      <c r="F28" s="252"/>
    </row>
    <row r="29" spans="1:6" ht="14.5">
      <c r="B29" s="248" t="s">
        <v>116</v>
      </c>
      <c r="C29" s="249">
        <v>25</v>
      </c>
      <c r="D29" s="250">
        <f t="shared" si="0"/>
        <v>0</v>
      </c>
      <c r="E29" s="251">
        <v>0</v>
      </c>
      <c r="F29" s="252"/>
    </row>
    <row r="30" spans="1:6" ht="14.5">
      <c r="B30" s="248" t="s">
        <v>117</v>
      </c>
      <c r="C30" s="249">
        <v>26</v>
      </c>
      <c r="D30" s="250">
        <f t="shared" si="0"/>
        <v>6825675.0499999998</v>
      </c>
      <c r="E30" s="251">
        <v>6825675.0499999998</v>
      </c>
      <c r="F30" s="252"/>
    </row>
    <row r="32" spans="1:6" ht="18.75" customHeight="1">
      <c r="A32" s="241"/>
      <c r="B32" s="242" t="s">
        <v>83</v>
      </c>
      <c r="D32" s="243"/>
      <c r="E32" s="244"/>
      <c r="F32" s="244"/>
    </row>
    <row r="33" spans="1:10" ht="18.75" customHeight="1">
      <c r="A33" s="241"/>
      <c r="B33" s="242" t="s">
        <v>1</v>
      </c>
    </row>
    <row r="34" spans="1:10" ht="18.75" customHeight="1">
      <c r="B34" s="242" t="s">
        <v>82</v>
      </c>
      <c r="D34" s="243"/>
    </row>
    <row r="35" spans="1:10" ht="15" customHeight="1">
      <c r="A35" s="241"/>
      <c r="B35" s="245" t="s">
        <v>3</v>
      </c>
      <c r="C35" s="245"/>
      <c r="D35" s="246" t="s">
        <v>85</v>
      </c>
      <c r="E35" s="245" t="s">
        <v>86</v>
      </c>
      <c r="F35" s="247"/>
    </row>
    <row r="36" spans="1:10" ht="15" customHeight="1">
      <c r="A36" s="241"/>
      <c r="B36" s="248" t="s">
        <v>90</v>
      </c>
      <c r="C36" s="249">
        <v>1</v>
      </c>
      <c r="D36" s="250">
        <v>15885356.75</v>
      </c>
      <c r="E36" s="253">
        <v>34498913.439999998</v>
      </c>
      <c r="F36" s="252"/>
    </row>
    <row r="37" spans="1:10" ht="15" customHeight="1">
      <c r="A37" s="241"/>
      <c r="B37" s="248" t="s">
        <v>92</v>
      </c>
      <c r="C37" s="249">
        <v>2</v>
      </c>
      <c r="D37" s="250">
        <v>15885356.75</v>
      </c>
      <c r="E37" s="253">
        <v>34498913.439999998</v>
      </c>
      <c r="F37" s="252"/>
      <c r="I37" t="s">
        <v>87</v>
      </c>
      <c r="J37" s="231" t="s">
        <v>88</v>
      </c>
    </row>
    <row r="38" spans="1:10" ht="15" customHeight="1">
      <c r="B38" s="248" t="s">
        <v>94</v>
      </c>
      <c r="C38" s="249">
        <v>3</v>
      </c>
      <c r="D38" s="250">
        <v>15885356.75</v>
      </c>
      <c r="E38" s="253">
        <v>34498913.439999998</v>
      </c>
      <c r="F38" s="252"/>
      <c r="H38" t="s">
        <v>91</v>
      </c>
      <c r="I38" s="33">
        <v>75907.570000000007</v>
      </c>
      <c r="J38" s="255">
        <v>9867.98</v>
      </c>
    </row>
    <row r="39" spans="1:10" ht="15" customHeight="1">
      <c r="B39" s="248" t="s">
        <v>95</v>
      </c>
      <c r="C39" s="249">
        <v>4</v>
      </c>
      <c r="D39" s="250">
        <v>0</v>
      </c>
      <c r="E39" s="253">
        <v>0</v>
      </c>
      <c r="F39" s="252"/>
      <c r="G39" s="244"/>
      <c r="H39" t="s">
        <v>93</v>
      </c>
      <c r="I39" s="33">
        <v>15809449.18</v>
      </c>
      <c r="J39" s="255">
        <v>2055228.4</v>
      </c>
    </row>
    <row r="40" spans="1:10" ht="15" customHeight="1">
      <c r="B40" s="248" t="s">
        <v>96</v>
      </c>
      <c r="C40" s="249">
        <v>5</v>
      </c>
      <c r="D40" s="250">
        <v>11385682.699999999</v>
      </c>
      <c r="E40" s="253">
        <f>E41+E44+E45+E46+E47+E48+E51+E52+E53+E54+E55</f>
        <v>23173564.34</v>
      </c>
      <c r="F40" s="252"/>
      <c r="I40" s="21">
        <f>SUM(I38:I39)</f>
        <v>15885356.75</v>
      </c>
      <c r="J40" s="257">
        <f>J38+J39</f>
        <v>2065096.38</v>
      </c>
    </row>
    <row r="41" spans="1:10" ht="15" customHeight="1">
      <c r="B41" s="248" t="s">
        <v>97</v>
      </c>
      <c r="C41" s="249">
        <v>6</v>
      </c>
      <c r="D41" s="250">
        <v>7010582.4000000004</v>
      </c>
      <c r="E41" s="253">
        <v>13958325.51</v>
      </c>
      <c r="F41" s="252"/>
    </row>
    <row r="42" spans="1:10" ht="15" customHeight="1">
      <c r="B42" s="248" t="s">
        <v>98</v>
      </c>
      <c r="C42" s="249">
        <v>7</v>
      </c>
      <c r="D42" s="250">
        <v>7010582.4000000004</v>
      </c>
      <c r="E42" s="253">
        <v>13958325.51</v>
      </c>
      <c r="F42" s="252"/>
    </row>
    <row r="43" spans="1:10" ht="15" customHeight="1">
      <c r="B43" s="248" t="s">
        <v>99</v>
      </c>
      <c r="C43" s="249">
        <v>8</v>
      </c>
      <c r="D43" s="250">
        <v>0</v>
      </c>
      <c r="E43" s="253">
        <v>0</v>
      </c>
      <c r="F43" s="252"/>
    </row>
    <row r="44" spans="1:10" ht="15" customHeight="1">
      <c r="B44" s="248" t="s">
        <v>100</v>
      </c>
      <c r="C44" s="249">
        <v>9</v>
      </c>
      <c r="D44" s="250">
        <v>0</v>
      </c>
      <c r="E44" s="253">
        <v>37307.89</v>
      </c>
      <c r="F44" s="252"/>
    </row>
    <row r="45" spans="1:10" ht="15" customHeight="1">
      <c r="B45" s="248" t="s">
        <v>101</v>
      </c>
      <c r="C45" s="249">
        <v>10</v>
      </c>
      <c r="D45" s="250">
        <v>0</v>
      </c>
      <c r="E45" s="253">
        <v>0</v>
      </c>
      <c r="F45" s="252"/>
    </row>
    <row r="46" spans="1:10" ht="15" customHeight="1">
      <c r="B46" s="248" t="s">
        <v>102</v>
      </c>
      <c r="C46" s="249">
        <v>11</v>
      </c>
      <c r="D46" s="250">
        <v>64860.01</v>
      </c>
      <c r="E46" s="253">
        <v>95453.1</v>
      </c>
      <c r="F46" s="252"/>
    </row>
    <row r="47" spans="1:10" ht="15" customHeight="1">
      <c r="B47" s="248" t="s">
        <v>103</v>
      </c>
      <c r="C47" s="249">
        <v>12</v>
      </c>
      <c r="D47" s="250">
        <v>0</v>
      </c>
      <c r="E47" s="253">
        <v>0</v>
      </c>
      <c r="F47" s="252"/>
    </row>
    <row r="48" spans="1:10" ht="15" customHeight="1">
      <c r="B48" s="248" t="s">
        <v>104</v>
      </c>
      <c r="C48" s="249">
        <v>13</v>
      </c>
      <c r="D48" s="250">
        <v>4310240.29</v>
      </c>
      <c r="E48" s="253">
        <v>9082477.8399999999</v>
      </c>
      <c r="F48" s="252"/>
    </row>
    <row r="49" spans="2:6" ht="15" customHeight="1">
      <c r="B49" s="248" t="s">
        <v>105</v>
      </c>
      <c r="C49" s="249">
        <v>14</v>
      </c>
      <c r="D49" s="250">
        <v>0</v>
      </c>
      <c r="E49" s="253">
        <v>0</v>
      </c>
      <c r="F49" s="252"/>
    </row>
    <row r="50" spans="2:6" ht="15" customHeight="1">
      <c r="B50" s="248" t="s">
        <v>106</v>
      </c>
      <c r="C50" s="249">
        <v>15</v>
      </c>
      <c r="D50" s="250">
        <v>0</v>
      </c>
      <c r="E50" s="253">
        <v>0</v>
      </c>
      <c r="F50" s="252"/>
    </row>
    <row r="51" spans="2:6" ht="15" customHeight="1">
      <c r="B51" s="248" t="s">
        <v>107</v>
      </c>
      <c r="C51" s="249">
        <v>16</v>
      </c>
      <c r="D51" s="250">
        <v>0</v>
      </c>
      <c r="E51" s="253">
        <v>0</v>
      </c>
      <c r="F51" s="252"/>
    </row>
    <row r="52" spans="2:6" ht="15" customHeight="1">
      <c r="B52" s="248" t="s">
        <v>108</v>
      </c>
      <c r="C52" s="249">
        <v>17</v>
      </c>
      <c r="D52" s="250">
        <v>0</v>
      </c>
      <c r="E52" s="253">
        <v>0</v>
      </c>
      <c r="F52" s="252"/>
    </row>
    <row r="53" spans="2:6" ht="15" customHeight="1">
      <c r="B53" s="248" t="s">
        <v>109</v>
      </c>
      <c r="C53" s="249">
        <v>18</v>
      </c>
      <c r="D53" s="250">
        <v>0</v>
      </c>
      <c r="E53" s="253">
        <v>0</v>
      </c>
      <c r="F53" s="252"/>
    </row>
    <row r="54" spans="2:6" ht="15" customHeight="1">
      <c r="B54" s="248" t="s">
        <v>110</v>
      </c>
      <c r="C54" s="249">
        <v>19</v>
      </c>
      <c r="D54" s="250">
        <v>0</v>
      </c>
      <c r="E54" s="253">
        <v>0</v>
      </c>
      <c r="F54" s="252"/>
    </row>
    <row r="55" spans="2:6" ht="15" customHeight="1">
      <c r="B55" s="248" t="s">
        <v>111</v>
      </c>
      <c r="C55" s="249">
        <v>20</v>
      </c>
      <c r="D55" s="250">
        <v>0</v>
      </c>
      <c r="E55" s="253">
        <v>0</v>
      </c>
      <c r="F55" s="252"/>
    </row>
    <row r="56" spans="2:6" ht="15" customHeight="1">
      <c r="B56" s="248" t="s">
        <v>112</v>
      </c>
      <c r="C56" s="249">
        <v>21</v>
      </c>
      <c r="D56" s="250">
        <v>4499674.05</v>
      </c>
      <c r="E56" s="253">
        <v>11325349.1</v>
      </c>
      <c r="F56" s="252"/>
    </row>
    <row r="57" spans="2:6" ht="15" customHeight="1">
      <c r="B57" s="248" t="s">
        <v>113</v>
      </c>
      <c r="C57" s="249">
        <v>22</v>
      </c>
      <c r="D57" s="250">
        <v>0</v>
      </c>
      <c r="E57" s="253">
        <v>0</v>
      </c>
      <c r="F57" s="252"/>
    </row>
    <row r="58" spans="2:6" ht="15" customHeight="1">
      <c r="B58" s="248" t="s">
        <v>114</v>
      </c>
      <c r="C58" s="249">
        <v>23</v>
      </c>
      <c r="D58" s="250">
        <v>0</v>
      </c>
      <c r="E58" s="253">
        <v>0</v>
      </c>
      <c r="F58" s="252"/>
    </row>
    <row r="59" spans="2:6" ht="15" customHeight="1">
      <c r="B59" s="248" t="s">
        <v>115</v>
      </c>
      <c r="C59" s="249">
        <v>24</v>
      </c>
      <c r="D59" s="250">
        <v>4499674.05</v>
      </c>
      <c r="E59" s="253">
        <v>11325349.1</v>
      </c>
      <c r="F59" s="252"/>
    </row>
    <row r="60" spans="2:6" ht="15" customHeight="1">
      <c r="B60" s="248" t="s">
        <v>116</v>
      </c>
      <c r="C60" s="249">
        <v>25</v>
      </c>
      <c r="D60" s="250">
        <v>0</v>
      </c>
      <c r="E60" s="253">
        <v>0</v>
      </c>
      <c r="F60" s="252"/>
    </row>
    <row r="61" spans="2:6" ht="15" customHeight="1">
      <c r="B61" s="248" t="s">
        <v>117</v>
      </c>
      <c r="C61" s="249">
        <v>26</v>
      </c>
      <c r="D61" s="250">
        <v>4499674.05</v>
      </c>
      <c r="E61" s="253">
        <v>11325349.1</v>
      </c>
      <c r="F61" s="252"/>
    </row>
    <row r="64" spans="2:6" ht="14.5">
      <c r="B64" s="242"/>
      <c r="D64" s="243"/>
      <c r="E64" s="244"/>
      <c r="F64" s="244"/>
    </row>
    <row r="65" spans="2:10" ht="14.5">
      <c r="B65" s="242"/>
    </row>
    <row r="66" spans="2:10" ht="14.5">
      <c r="B66" s="242"/>
      <c r="D66" s="243"/>
    </row>
    <row r="67" spans="2:10" ht="14.5">
      <c r="B67" s="245"/>
      <c r="C67" s="245"/>
      <c r="D67" s="246"/>
      <c r="E67" s="245"/>
      <c r="F67" s="247"/>
    </row>
    <row r="68" spans="2:10" ht="14.5">
      <c r="B68" s="248"/>
      <c r="C68" s="249"/>
      <c r="D68" s="250"/>
      <c r="E68" s="253"/>
      <c r="F68" s="252"/>
    </row>
    <row r="69" spans="2:10" ht="14.5">
      <c r="B69" s="248"/>
      <c r="C69" s="249"/>
      <c r="D69" s="250"/>
      <c r="E69" s="253"/>
      <c r="F69" s="252"/>
      <c r="G69" s="244"/>
      <c r="I69" s="33"/>
      <c r="J69" s="254"/>
    </row>
    <row r="70" spans="2:10" ht="14.5">
      <c r="B70" s="248"/>
      <c r="C70" s="249"/>
      <c r="D70" s="250"/>
      <c r="E70" s="253"/>
      <c r="F70" s="252"/>
      <c r="I70" s="33"/>
      <c r="J70" s="254"/>
    </row>
    <row r="71" spans="2:10" ht="14.5">
      <c r="B71" s="248"/>
      <c r="C71" s="249"/>
      <c r="D71" s="250"/>
      <c r="E71" s="253"/>
      <c r="F71" s="252"/>
      <c r="I71" s="21"/>
      <c r="J71" s="258"/>
    </row>
    <row r="72" spans="2:10" ht="14.5">
      <c r="B72" s="248"/>
      <c r="C72" s="249"/>
      <c r="D72" s="250"/>
      <c r="E72" s="253"/>
      <c r="F72" s="252"/>
    </row>
    <row r="73" spans="2:10" ht="14.5">
      <c r="B73" s="248"/>
      <c r="C73" s="249"/>
      <c r="D73" s="250"/>
      <c r="E73" s="253"/>
      <c r="F73" s="252"/>
    </row>
    <row r="74" spans="2:10" ht="14.5">
      <c r="B74" s="248"/>
      <c r="C74" s="249"/>
      <c r="D74" s="250"/>
      <c r="E74" s="253"/>
      <c r="F74" s="252"/>
    </row>
    <row r="75" spans="2:10" ht="14.5">
      <c r="B75" s="248"/>
      <c r="C75" s="249"/>
      <c r="D75" s="250"/>
      <c r="E75" s="253"/>
      <c r="F75" s="252"/>
    </row>
    <row r="76" spans="2:10" ht="14.5">
      <c r="B76" s="248"/>
      <c r="C76" s="249"/>
      <c r="D76" s="250"/>
      <c r="E76" s="253"/>
      <c r="F76" s="252"/>
    </row>
    <row r="77" spans="2:10" ht="14.5">
      <c r="B77" s="248"/>
      <c r="C77" s="249"/>
      <c r="D77" s="250"/>
      <c r="E77" s="253"/>
      <c r="F77" s="252"/>
    </row>
    <row r="78" spans="2:10" ht="14.5">
      <c r="B78" s="248"/>
      <c r="C78" s="249"/>
      <c r="D78" s="250"/>
      <c r="E78" s="253"/>
      <c r="F78" s="252"/>
    </row>
    <row r="79" spans="2:10" ht="14.5">
      <c r="B79" s="248"/>
      <c r="C79" s="249"/>
      <c r="D79" s="250"/>
      <c r="E79" s="253"/>
      <c r="F79" s="252"/>
    </row>
    <row r="80" spans="2:10" ht="14.5">
      <c r="B80" s="248"/>
      <c r="C80" s="249"/>
      <c r="D80" s="250"/>
      <c r="E80" s="253"/>
      <c r="F80" s="252"/>
    </row>
    <row r="81" spans="2:6" ht="14.5">
      <c r="B81" s="248"/>
      <c r="C81" s="249"/>
      <c r="D81" s="250"/>
      <c r="E81" s="253"/>
      <c r="F81" s="252"/>
    </row>
    <row r="82" spans="2:6" ht="14.5">
      <c r="B82" s="248"/>
      <c r="C82" s="249"/>
      <c r="D82" s="250"/>
      <c r="E82" s="253"/>
      <c r="F82" s="252"/>
    </row>
    <row r="83" spans="2:6" ht="14.5">
      <c r="B83" s="248"/>
      <c r="C83" s="249"/>
      <c r="D83" s="250"/>
      <c r="E83" s="253"/>
      <c r="F83" s="252"/>
    </row>
    <row r="84" spans="2:6" ht="14.5">
      <c r="B84" s="248"/>
      <c r="C84" s="249"/>
      <c r="D84" s="250"/>
      <c r="E84" s="253"/>
      <c r="F84" s="252"/>
    </row>
    <row r="85" spans="2:6" ht="14.5">
      <c r="B85" s="248"/>
      <c r="C85" s="249"/>
      <c r="D85" s="250"/>
      <c r="E85" s="253"/>
      <c r="F85" s="252"/>
    </row>
    <row r="86" spans="2:6" ht="14.5">
      <c r="B86" s="248"/>
      <c r="C86" s="249"/>
      <c r="D86" s="250"/>
      <c r="E86" s="253"/>
      <c r="F86" s="252"/>
    </row>
    <row r="87" spans="2:6" ht="14.5">
      <c r="B87" s="248"/>
      <c r="C87" s="249"/>
      <c r="D87" s="250"/>
      <c r="E87" s="253"/>
      <c r="F87" s="252"/>
    </row>
    <row r="88" spans="2:6" ht="14.5">
      <c r="B88" s="248"/>
      <c r="C88" s="249"/>
      <c r="D88" s="250"/>
      <c r="E88" s="253"/>
      <c r="F88" s="252"/>
    </row>
    <row r="89" spans="2:6" ht="14.5">
      <c r="B89" s="248"/>
      <c r="C89" s="249"/>
      <c r="D89" s="250"/>
      <c r="E89" s="253"/>
      <c r="F89" s="252"/>
    </row>
    <row r="90" spans="2:6" ht="14.5">
      <c r="B90" s="248"/>
      <c r="C90" s="249"/>
      <c r="D90" s="250"/>
      <c r="E90" s="253"/>
      <c r="F90" s="252"/>
    </row>
    <row r="91" spans="2:6" ht="14.5">
      <c r="B91" s="248"/>
      <c r="C91" s="249"/>
      <c r="D91" s="250"/>
      <c r="E91" s="253"/>
      <c r="F91" s="252"/>
    </row>
    <row r="92" spans="2:6" ht="14.5">
      <c r="B92" s="248"/>
      <c r="C92" s="249"/>
      <c r="D92" s="250"/>
      <c r="E92" s="253"/>
      <c r="F92" s="252"/>
    </row>
    <row r="93" spans="2:6" ht="14.5">
      <c r="B93" s="248"/>
      <c r="C93" s="249"/>
      <c r="D93" s="250"/>
      <c r="E93" s="253"/>
      <c r="F93" s="252"/>
    </row>
  </sheetData>
  <phoneticPr fontId="6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10"/>
  <sheetViews>
    <sheetView topLeftCell="D1" zoomScale="80" zoomScaleNormal="80" workbookViewId="0">
      <selection activeCell="J19" sqref="J19"/>
    </sheetView>
  </sheetViews>
  <sheetFormatPr defaultColWidth="9.08203125" defaultRowHeight="14"/>
  <cols>
    <col min="1" max="1" width="9.08203125" style="234"/>
    <col min="2" max="2" width="5.75" style="234" customWidth="1"/>
    <col min="3" max="3" width="9.08203125" style="234"/>
    <col min="4" max="4" width="11.83203125" style="234" customWidth="1"/>
    <col min="5" max="5" width="9.83203125" style="234" customWidth="1"/>
    <col min="6" max="6" width="9.08203125" style="234"/>
    <col min="7" max="7" width="9.83203125" style="234" customWidth="1"/>
    <col min="8" max="8" width="9.75" style="234" customWidth="1"/>
    <col min="9" max="9" width="17.58203125" style="234" customWidth="1"/>
    <col min="10" max="10" width="11.83203125" style="234" customWidth="1"/>
    <col min="11" max="11" width="13.25" style="234" customWidth="1"/>
    <col min="12" max="12" width="5.83203125" style="234" customWidth="1"/>
    <col min="13" max="13" width="5.4140625" style="234" customWidth="1"/>
    <col min="14" max="14" width="15.25" style="234" customWidth="1"/>
    <col min="15" max="17" width="9.08203125" style="234"/>
    <col min="18" max="18" width="5.4140625" style="234" customWidth="1"/>
    <col min="19" max="19" width="6.25" style="234" customWidth="1"/>
    <col min="20" max="20" width="9.08203125" style="234"/>
    <col min="21" max="21" width="17.58203125" style="234" customWidth="1"/>
    <col min="22" max="22" width="9.08203125" style="234"/>
    <col min="23" max="24" width="41.4140625" style="234" customWidth="1"/>
    <col min="25" max="25" width="5.4140625" style="234" customWidth="1"/>
    <col min="26" max="26" width="7.25" style="234" customWidth="1"/>
    <col min="27" max="27" width="10.4140625" style="234" customWidth="1"/>
    <col min="28" max="28" width="9.08203125" style="234"/>
    <col min="29" max="29" width="5.4140625" style="234" customWidth="1"/>
    <col min="30" max="16384" width="9.08203125" style="234"/>
  </cols>
  <sheetData>
    <row r="1" spans="1:30">
      <c r="A1" s="235" t="s">
        <v>118</v>
      </c>
      <c r="B1" s="235" t="s">
        <v>119</v>
      </c>
      <c r="C1" s="235" t="s">
        <v>120</v>
      </c>
      <c r="D1" s="235" t="s">
        <v>121</v>
      </c>
      <c r="E1" s="235" t="s">
        <v>122</v>
      </c>
      <c r="F1" s="235" t="s">
        <v>123</v>
      </c>
      <c r="G1" s="235" t="s">
        <v>124</v>
      </c>
      <c r="H1" s="235" t="s">
        <v>125</v>
      </c>
      <c r="I1" s="235" t="s">
        <v>126</v>
      </c>
      <c r="J1" s="235" t="s">
        <v>127</v>
      </c>
      <c r="K1" s="235" t="s">
        <v>128</v>
      </c>
      <c r="L1" s="235" t="s">
        <v>129</v>
      </c>
      <c r="M1" s="235" t="s">
        <v>130</v>
      </c>
      <c r="N1" s="235" t="s">
        <v>131</v>
      </c>
      <c r="O1" s="235" t="s">
        <v>132</v>
      </c>
      <c r="P1" s="235" t="s">
        <v>133</v>
      </c>
      <c r="Q1" s="235" t="s">
        <v>134</v>
      </c>
      <c r="R1" s="235" t="s">
        <v>135</v>
      </c>
      <c r="S1" s="235" t="s">
        <v>136</v>
      </c>
      <c r="T1" s="235" t="s">
        <v>137</v>
      </c>
      <c r="U1" s="235" t="s">
        <v>138</v>
      </c>
      <c r="V1" s="235" t="s">
        <v>139</v>
      </c>
      <c r="W1" s="235" t="s">
        <v>140</v>
      </c>
      <c r="X1" s="235" t="s">
        <v>141</v>
      </c>
      <c r="Y1" s="235" t="s">
        <v>142</v>
      </c>
      <c r="Z1" s="235" t="s">
        <v>143</v>
      </c>
      <c r="AA1" s="235" t="s">
        <v>144</v>
      </c>
      <c r="AB1" s="235" t="s">
        <v>145</v>
      </c>
      <c r="AC1" s="235" t="s">
        <v>146</v>
      </c>
      <c r="AD1" s="235" t="s">
        <v>147</v>
      </c>
    </row>
    <row r="2" spans="1:30">
      <c r="A2" s="234" t="s">
        <v>148</v>
      </c>
      <c r="B2" s="234" t="s">
        <v>149</v>
      </c>
      <c r="C2" s="234" t="s">
        <v>150</v>
      </c>
      <c r="D2" s="234" t="s">
        <v>151</v>
      </c>
      <c r="E2" s="236">
        <v>45716</v>
      </c>
      <c r="F2" s="234" t="s">
        <v>152</v>
      </c>
      <c r="G2" s="236">
        <v>45716</v>
      </c>
      <c r="H2" s="234" t="s">
        <v>153</v>
      </c>
      <c r="I2" s="234" t="s">
        <v>154</v>
      </c>
      <c r="J2" s="234" t="s">
        <v>155</v>
      </c>
      <c r="K2" s="237">
        <v>-163973.19</v>
      </c>
      <c r="L2" s="234" t="s">
        <v>156</v>
      </c>
      <c r="M2" s="234" t="s">
        <v>157</v>
      </c>
      <c r="N2" s="237">
        <v>-163973.19</v>
      </c>
      <c r="O2" s="234" t="s">
        <v>156</v>
      </c>
      <c r="P2" s="234" t="s">
        <v>158</v>
      </c>
      <c r="Q2" s="234" t="s">
        <v>159</v>
      </c>
      <c r="R2" s="234" t="s">
        <v>157</v>
      </c>
      <c r="S2" s="239">
        <v>0</v>
      </c>
      <c r="T2" s="234" t="s">
        <v>157</v>
      </c>
      <c r="U2" s="234" t="s">
        <v>154</v>
      </c>
      <c r="V2" s="234" t="s">
        <v>157</v>
      </c>
      <c r="W2" s="234" t="s">
        <v>160</v>
      </c>
      <c r="X2" s="234" t="s">
        <v>161</v>
      </c>
      <c r="Y2" s="234" t="s">
        <v>157</v>
      </c>
      <c r="Z2" s="234" t="s">
        <v>157</v>
      </c>
      <c r="AA2" s="234" t="s">
        <v>157</v>
      </c>
      <c r="AB2" s="234" t="s">
        <v>157</v>
      </c>
      <c r="AC2" s="234" t="s">
        <v>157</v>
      </c>
      <c r="AD2" s="236"/>
    </row>
    <row r="3" spans="1:30">
      <c r="A3" s="234" t="s">
        <v>148</v>
      </c>
      <c r="B3" s="234" t="s">
        <v>149</v>
      </c>
      <c r="C3" s="234" t="s">
        <v>150</v>
      </c>
      <c r="D3" s="234" t="s">
        <v>151</v>
      </c>
      <c r="E3" s="236">
        <v>45716</v>
      </c>
      <c r="F3" s="234" t="s">
        <v>152</v>
      </c>
      <c r="G3" s="236">
        <v>45716</v>
      </c>
      <c r="H3" s="234" t="s">
        <v>153</v>
      </c>
      <c r="I3" s="234" t="s">
        <v>154</v>
      </c>
      <c r="J3" s="234" t="s">
        <v>155</v>
      </c>
      <c r="K3" s="237">
        <v>5856.19</v>
      </c>
      <c r="L3" s="234" t="s">
        <v>156</v>
      </c>
      <c r="M3" s="234" t="s">
        <v>157</v>
      </c>
      <c r="N3" s="237">
        <v>5856.19</v>
      </c>
      <c r="O3" s="234" t="s">
        <v>156</v>
      </c>
      <c r="P3" s="234" t="s">
        <v>158</v>
      </c>
      <c r="Q3" s="234" t="s">
        <v>162</v>
      </c>
      <c r="R3" s="234" t="s">
        <v>157</v>
      </c>
      <c r="S3" s="239">
        <v>0</v>
      </c>
      <c r="T3" s="234" t="s">
        <v>157</v>
      </c>
      <c r="U3" s="234" t="s">
        <v>154</v>
      </c>
      <c r="V3" s="234" t="s">
        <v>157</v>
      </c>
      <c r="W3" s="234" t="s">
        <v>163</v>
      </c>
      <c r="X3" s="234" t="s">
        <v>161</v>
      </c>
      <c r="Y3" s="234" t="s">
        <v>157</v>
      </c>
      <c r="Z3" s="234" t="s">
        <v>157</v>
      </c>
      <c r="AA3" s="234" t="s">
        <v>157</v>
      </c>
      <c r="AB3" s="234" t="s">
        <v>157</v>
      </c>
      <c r="AC3" s="234" t="s">
        <v>157</v>
      </c>
      <c r="AD3" s="236"/>
    </row>
    <row r="4" spans="1:30">
      <c r="A4" s="234" t="s">
        <v>148</v>
      </c>
      <c r="B4" s="234" t="s">
        <v>149</v>
      </c>
      <c r="C4" s="234" t="s">
        <v>150</v>
      </c>
      <c r="D4" s="234" t="s">
        <v>151</v>
      </c>
      <c r="E4" s="236">
        <v>45716</v>
      </c>
      <c r="F4" s="234" t="s">
        <v>152</v>
      </c>
      <c r="G4" s="236">
        <v>45716</v>
      </c>
      <c r="H4" s="234" t="s">
        <v>153</v>
      </c>
      <c r="I4" s="234" t="s">
        <v>154</v>
      </c>
      <c r="J4" s="234" t="s">
        <v>155</v>
      </c>
      <c r="K4" s="237">
        <v>18154.169999999998</v>
      </c>
      <c r="L4" s="234" t="s">
        <v>156</v>
      </c>
      <c r="M4" s="234" t="s">
        <v>157</v>
      </c>
      <c r="N4" s="237">
        <v>18154.169999999998</v>
      </c>
      <c r="O4" s="234" t="s">
        <v>156</v>
      </c>
      <c r="P4" s="234" t="s">
        <v>158</v>
      </c>
      <c r="Q4" s="234" t="s">
        <v>162</v>
      </c>
      <c r="R4" s="234" t="s">
        <v>157</v>
      </c>
      <c r="S4" s="239">
        <v>0</v>
      </c>
      <c r="T4" s="234" t="s">
        <v>157</v>
      </c>
      <c r="U4" s="234" t="s">
        <v>154</v>
      </c>
      <c r="V4" s="234" t="s">
        <v>157</v>
      </c>
      <c r="W4" s="234" t="s">
        <v>164</v>
      </c>
      <c r="X4" s="234" t="s">
        <v>161</v>
      </c>
      <c r="Y4" s="234" t="s">
        <v>157</v>
      </c>
      <c r="Z4" s="234" t="s">
        <v>157</v>
      </c>
      <c r="AA4" s="234" t="s">
        <v>157</v>
      </c>
      <c r="AB4" s="234" t="s">
        <v>157</v>
      </c>
      <c r="AC4" s="234" t="s">
        <v>157</v>
      </c>
      <c r="AD4" s="236"/>
    </row>
    <row r="5" spans="1:30">
      <c r="A5" s="234" t="s">
        <v>148</v>
      </c>
      <c r="B5" s="234" t="s">
        <v>149</v>
      </c>
      <c r="C5" s="234" t="s">
        <v>150</v>
      </c>
      <c r="D5" s="234" t="s">
        <v>165</v>
      </c>
      <c r="E5" s="236">
        <v>45716</v>
      </c>
      <c r="F5" s="234" t="s">
        <v>152</v>
      </c>
      <c r="G5" s="236">
        <v>45716</v>
      </c>
      <c r="H5" s="234" t="s">
        <v>153</v>
      </c>
      <c r="I5" s="234" t="s">
        <v>154</v>
      </c>
      <c r="J5" s="234" t="s">
        <v>155</v>
      </c>
      <c r="K5" s="237">
        <v>-11560.82</v>
      </c>
      <c r="L5" s="234" t="s">
        <v>156</v>
      </c>
      <c r="M5" s="234" t="s">
        <v>157</v>
      </c>
      <c r="N5" s="237">
        <v>-11560.82</v>
      </c>
      <c r="O5" s="234" t="s">
        <v>156</v>
      </c>
      <c r="P5" s="234" t="s">
        <v>158</v>
      </c>
      <c r="Q5" s="234" t="s">
        <v>159</v>
      </c>
      <c r="R5" s="234" t="s">
        <v>157</v>
      </c>
      <c r="S5" s="239">
        <v>0</v>
      </c>
      <c r="T5" s="234" t="s">
        <v>157</v>
      </c>
      <c r="U5" s="234" t="s">
        <v>154</v>
      </c>
      <c r="V5" s="234" t="s">
        <v>157</v>
      </c>
      <c r="W5" s="234" t="s">
        <v>166</v>
      </c>
      <c r="X5" s="234" t="s">
        <v>166</v>
      </c>
      <c r="Y5" s="234" t="s">
        <v>157</v>
      </c>
      <c r="Z5" s="234" t="s">
        <v>157</v>
      </c>
      <c r="AA5" s="234" t="s">
        <v>157</v>
      </c>
      <c r="AB5" s="234" t="s">
        <v>157</v>
      </c>
      <c r="AC5" s="234" t="s">
        <v>157</v>
      </c>
      <c r="AD5" s="236"/>
    </row>
    <row r="6" spans="1:30">
      <c r="A6" s="234" t="s">
        <v>148</v>
      </c>
      <c r="B6" s="234" t="s">
        <v>149</v>
      </c>
      <c r="C6" s="234" t="s">
        <v>150</v>
      </c>
      <c r="D6" s="234" t="s">
        <v>165</v>
      </c>
      <c r="E6" s="236">
        <v>45716</v>
      </c>
      <c r="F6" s="234" t="s">
        <v>152</v>
      </c>
      <c r="G6" s="236">
        <v>45716</v>
      </c>
      <c r="H6" s="234" t="s">
        <v>153</v>
      </c>
      <c r="I6" s="234" t="s">
        <v>154</v>
      </c>
      <c r="J6" s="234" t="s">
        <v>155</v>
      </c>
      <c r="K6" s="237">
        <v>412.89</v>
      </c>
      <c r="L6" s="234" t="s">
        <v>156</v>
      </c>
      <c r="M6" s="234" t="s">
        <v>157</v>
      </c>
      <c r="N6" s="237">
        <v>412.89</v>
      </c>
      <c r="O6" s="234" t="s">
        <v>156</v>
      </c>
      <c r="P6" s="234" t="s">
        <v>158</v>
      </c>
      <c r="Q6" s="234" t="s">
        <v>162</v>
      </c>
      <c r="R6" s="234" t="s">
        <v>157</v>
      </c>
      <c r="S6" s="239">
        <v>0</v>
      </c>
      <c r="T6" s="234" t="s">
        <v>157</v>
      </c>
      <c r="U6" s="234" t="s">
        <v>154</v>
      </c>
      <c r="V6" s="234" t="s">
        <v>157</v>
      </c>
      <c r="W6" s="234" t="s">
        <v>163</v>
      </c>
      <c r="X6" s="234" t="s">
        <v>166</v>
      </c>
      <c r="Y6" s="234" t="s">
        <v>157</v>
      </c>
      <c r="Z6" s="234" t="s">
        <v>157</v>
      </c>
      <c r="AA6" s="234" t="s">
        <v>157</v>
      </c>
      <c r="AB6" s="234" t="s">
        <v>157</v>
      </c>
      <c r="AC6" s="234" t="s">
        <v>157</v>
      </c>
      <c r="AD6" s="236"/>
    </row>
    <row r="7" spans="1:30">
      <c r="A7" s="234" t="s">
        <v>148</v>
      </c>
      <c r="B7" s="234" t="s">
        <v>149</v>
      </c>
      <c r="C7" s="234" t="s">
        <v>150</v>
      </c>
      <c r="D7" s="234" t="s">
        <v>165</v>
      </c>
      <c r="E7" s="236">
        <v>45716</v>
      </c>
      <c r="F7" s="234" t="s">
        <v>152</v>
      </c>
      <c r="G7" s="236">
        <v>45716</v>
      </c>
      <c r="H7" s="234" t="s">
        <v>153</v>
      </c>
      <c r="I7" s="234" t="s">
        <v>154</v>
      </c>
      <c r="J7" s="234" t="s">
        <v>155</v>
      </c>
      <c r="K7" s="237">
        <v>1279.95</v>
      </c>
      <c r="L7" s="234" t="s">
        <v>156</v>
      </c>
      <c r="M7" s="234" t="s">
        <v>157</v>
      </c>
      <c r="N7" s="237">
        <v>1279.95</v>
      </c>
      <c r="O7" s="234" t="s">
        <v>156</v>
      </c>
      <c r="P7" s="234" t="s">
        <v>158</v>
      </c>
      <c r="Q7" s="234" t="s">
        <v>162</v>
      </c>
      <c r="R7" s="234" t="s">
        <v>157</v>
      </c>
      <c r="S7" s="239">
        <v>0</v>
      </c>
      <c r="T7" s="234" t="s">
        <v>157</v>
      </c>
      <c r="U7" s="234" t="s">
        <v>154</v>
      </c>
      <c r="V7" s="234" t="s">
        <v>157</v>
      </c>
      <c r="W7" s="234" t="s">
        <v>164</v>
      </c>
      <c r="X7" s="234" t="s">
        <v>166</v>
      </c>
      <c r="Y7" s="234" t="s">
        <v>157</v>
      </c>
      <c r="Z7" s="234" t="s">
        <v>157</v>
      </c>
      <c r="AA7" s="234" t="s">
        <v>157</v>
      </c>
      <c r="AB7" s="234" t="s">
        <v>157</v>
      </c>
      <c r="AC7" s="234" t="s">
        <v>157</v>
      </c>
      <c r="AD7" s="236"/>
    </row>
    <row r="8" spans="1:30">
      <c r="A8" s="234" t="s">
        <v>148</v>
      </c>
      <c r="B8" s="234" t="s">
        <v>149</v>
      </c>
      <c r="C8" s="234" t="s">
        <v>150</v>
      </c>
      <c r="D8" s="234" t="s">
        <v>167</v>
      </c>
      <c r="E8" s="236">
        <v>45716</v>
      </c>
      <c r="F8" s="234" t="s">
        <v>152</v>
      </c>
      <c r="G8" s="236">
        <v>45716</v>
      </c>
      <c r="H8" s="234" t="s">
        <v>153</v>
      </c>
      <c r="I8" s="234" t="s">
        <v>168</v>
      </c>
      <c r="J8" s="234" t="s">
        <v>155</v>
      </c>
      <c r="K8" s="237">
        <v>-1915265.57</v>
      </c>
      <c r="L8" s="234" t="s">
        <v>156</v>
      </c>
      <c r="M8" s="234" t="s">
        <v>157</v>
      </c>
      <c r="N8" s="237">
        <v>-1915265.57</v>
      </c>
      <c r="O8" s="234" t="s">
        <v>156</v>
      </c>
      <c r="P8" s="234" t="s">
        <v>157</v>
      </c>
      <c r="Q8" s="234" t="s">
        <v>159</v>
      </c>
      <c r="R8" s="234" t="s">
        <v>157</v>
      </c>
      <c r="S8" s="239">
        <v>0</v>
      </c>
      <c r="T8" s="234" t="s">
        <v>157</v>
      </c>
      <c r="U8" s="234" t="s">
        <v>168</v>
      </c>
      <c r="V8" s="234" t="s">
        <v>157</v>
      </c>
      <c r="W8" s="234" t="s">
        <v>154</v>
      </c>
      <c r="X8" s="234" t="s">
        <v>169</v>
      </c>
      <c r="Y8" s="234" t="s">
        <v>157</v>
      </c>
      <c r="Z8" s="234" t="s">
        <v>157</v>
      </c>
      <c r="AA8" s="234" t="s">
        <v>157</v>
      </c>
      <c r="AB8" s="234" t="s">
        <v>157</v>
      </c>
      <c r="AC8" s="234" t="s">
        <v>157</v>
      </c>
      <c r="AD8" s="236"/>
    </row>
    <row r="10" spans="1:30">
      <c r="N10" s="238">
        <f>SUM(N2:N8)</f>
        <v>-2065096.3800000001</v>
      </c>
    </row>
  </sheetData>
  <phoneticPr fontId="6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28"/>
  <sheetViews>
    <sheetView zoomScale="80" zoomScaleNormal="80" workbookViewId="0">
      <selection activeCell="N28" sqref="N28"/>
    </sheetView>
  </sheetViews>
  <sheetFormatPr defaultColWidth="9.08203125" defaultRowHeight="14"/>
  <cols>
    <col min="1" max="1" width="9.08203125" style="234"/>
    <col min="2" max="2" width="5.75" style="234" customWidth="1"/>
    <col min="3" max="3" width="9.08203125" style="234"/>
    <col min="4" max="4" width="11.83203125" style="234" customWidth="1"/>
    <col min="5" max="5" width="9.83203125" style="234" customWidth="1"/>
    <col min="6" max="6" width="9.08203125" style="234"/>
    <col min="7" max="7" width="9.83203125" style="234" customWidth="1"/>
    <col min="8" max="8" width="9.75" style="234" customWidth="1"/>
    <col min="9" max="9" width="27.1640625" style="234" customWidth="1"/>
    <col min="10" max="10" width="11.83203125" style="234" customWidth="1"/>
    <col min="11" max="11" width="10.4140625" style="234" customWidth="1"/>
    <col min="12" max="12" width="5.83203125" style="234" customWidth="1"/>
    <col min="13" max="13" width="5.4140625" style="234" customWidth="1"/>
    <col min="14" max="14" width="15.25" style="234" customWidth="1"/>
    <col min="15" max="17" width="9.08203125" style="234"/>
    <col min="18" max="18" width="5.4140625" style="234" customWidth="1"/>
    <col min="19" max="19" width="6.25" style="234" customWidth="1"/>
    <col min="20" max="20" width="9.08203125" style="234"/>
    <col min="21" max="21" width="18" style="234" customWidth="1"/>
    <col min="22" max="22" width="11.83203125" style="234" customWidth="1"/>
    <col min="23" max="23" width="60.1640625" style="234" customWidth="1"/>
    <col min="24" max="24" width="36.75" style="234" customWidth="1"/>
    <col min="25" max="25" width="5.4140625" style="234" customWidth="1"/>
    <col min="26" max="26" width="7.25" style="234" customWidth="1"/>
    <col min="27" max="27" width="10.4140625" style="234" customWidth="1"/>
    <col min="28" max="28" width="9.08203125" style="234"/>
    <col min="29" max="29" width="5.4140625" style="234" customWidth="1"/>
    <col min="30" max="16384" width="9.08203125" style="234"/>
  </cols>
  <sheetData>
    <row r="1" spans="1:30">
      <c r="A1" s="235" t="s">
        <v>118</v>
      </c>
      <c r="B1" s="235" t="s">
        <v>119</v>
      </c>
      <c r="C1" s="235" t="s">
        <v>120</v>
      </c>
      <c r="D1" s="235" t="s">
        <v>121</v>
      </c>
      <c r="E1" s="235" t="s">
        <v>122</v>
      </c>
      <c r="F1" s="235" t="s">
        <v>123</v>
      </c>
      <c r="G1" s="235" t="s">
        <v>124</v>
      </c>
      <c r="H1" s="235" t="s">
        <v>125</v>
      </c>
      <c r="I1" s="235" t="s">
        <v>126</v>
      </c>
      <c r="J1" s="235" t="s">
        <v>127</v>
      </c>
      <c r="K1" s="235" t="s">
        <v>128</v>
      </c>
      <c r="L1" s="235" t="s">
        <v>129</v>
      </c>
      <c r="M1" s="235" t="s">
        <v>130</v>
      </c>
      <c r="N1" s="235" t="s">
        <v>131</v>
      </c>
      <c r="O1" s="235" t="s">
        <v>132</v>
      </c>
      <c r="P1" s="235" t="s">
        <v>133</v>
      </c>
      <c r="Q1" s="235" t="s">
        <v>134</v>
      </c>
      <c r="R1" s="235" t="s">
        <v>135</v>
      </c>
      <c r="S1" s="235" t="s">
        <v>136</v>
      </c>
      <c r="T1" s="235" t="s">
        <v>137</v>
      </c>
      <c r="U1" s="235" t="s">
        <v>138</v>
      </c>
      <c r="V1" s="235" t="s">
        <v>139</v>
      </c>
      <c r="W1" s="235" t="s">
        <v>140</v>
      </c>
      <c r="X1" s="235" t="s">
        <v>141</v>
      </c>
      <c r="Y1" s="235" t="s">
        <v>142</v>
      </c>
      <c r="Z1" s="235" t="s">
        <v>143</v>
      </c>
      <c r="AA1" s="235" t="s">
        <v>144</v>
      </c>
      <c r="AB1" s="235" t="s">
        <v>145</v>
      </c>
      <c r="AC1" s="235" t="s">
        <v>146</v>
      </c>
      <c r="AD1" s="235" t="s">
        <v>147</v>
      </c>
    </row>
    <row r="2" spans="1:30">
      <c r="A2" s="234" t="s">
        <v>148</v>
      </c>
      <c r="B2" s="234" t="s">
        <v>149</v>
      </c>
      <c r="C2" s="234" t="s">
        <v>150</v>
      </c>
      <c r="D2" s="234" t="s">
        <v>170</v>
      </c>
      <c r="E2" s="236">
        <v>45667</v>
      </c>
      <c r="F2" s="234" t="s">
        <v>171</v>
      </c>
      <c r="G2" s="236">
        <v>45689</v>
      </c>
      <c r="H2" s="234" t="s">
        <v>153</v>
      </c>
      <c r="I2" s="234" t="s">
        <v>157</v>
      </c>
      <c r="J2" s="234" t="s">
        <v>172</v>
      </c>
      <c r="K2" s="237">
        <v>6949.21</v>
      </c>
      <c r="L2" s="234" t="s">
        <v>156</v>
      </c>
      <c r="M2" s="234" t="s">
        <v>157</v>
      </c>
      <c r="N2" s="237">
        <v>6949.21</v>
      </c>
      <c r="O2" s="234" t="s">
        <v>156</v>
      </c>
      <c r="P2" s="234" t="s">
        <v>157</v>
      </c>
      <c r="Q2" s="234" t="s">
        <v>162</v>
      </c>
      <c r="R2" s="234" t="s">
        <v>157</v>
      </c>
      <c r="S2" s="239">
        <v>0</v>
      </c>
      <c r="T2" s="234" t="s">
        <v>157</v>
      </c>
      <c r="U2" s="234" t="s">
        <v>157</v>
      </c>
      <c r="V2" s="234" t="s">
        <v>170</v>
      </c>
      <c r="W2" s="234" t="s">
        <v>173</v>
      </c>
      <c r="X2" s="234" t="s">
        <v>174</v>
      </c>
      <c r="Y2" s="234" t="s">
        <v>157</v>
      </c>
      <c r="Z2" s="234" t="s">
        <v>157</v>
      </c>
      <c r="AA2" s="234" t="s">
        <v>157</v>
      </c>
      <c r="AB2" s="234" t="s">
        <v>157</v>
      </c>
      <c r="AC2" s="234" t="s">
        <v>157</v>
      </c>
      <c r="AD2" s="236">
        <v>45689</v>
      </c>
    </row>
    <row r="3" spans="1:30">
      <c r="A3" s="234" t="s">
        <v>148</v>
      </c>
      <c r="B3" s="234" t="s">
        <v>149</v>
      </c>
      <c r="C3" s="234" t="s">
        <v>150</v>
      </c>
      <c r="D3" s="234" t="s">
        <v>175</v>
      </c>
      <c r="E3" s="236">
        <v>45667</v>
      </c>
      <c r="F3" s="234" t="s">
        <v>171</v>
      </c>
      <c r="G3" s="236">
        <v>45689</v>
      </c>
      <c r="H3" s="234" t="s">
        <v>153</v>
      </c>
      <c r="I3" s="234" t="s">
        <v>157</v>
      </c>
      <c r="J3" s="234" t="s">
        <v>172</v>
      </c>
      <c r="K3" s="237">
        <v>13397.9</v>
      </c>
      <c r="L3" s="234" t="s">
        <v>156</v>
      </c>
      <c r="M3" s="234" t="s">
        <v>157</v>
      </c>
      <c r="N3" s="237">
        <v>13397.9</v>
      </c>
      <c r="O3" s="234" t="s">
        <v>156</v>
      </c>
      <c r="P3" s="234" t="s">
        <v>157</v>
      </c>
      <c r="Q3" s="234" t="s">
        <v>162</v>
      </c>
      <c r="R3" s="234" t="s">
        <v>157</v>
      </c>
      <c r="S3" s="239">
        <v>0</v>
      </c>
      <c r="T3" s="234" t="s">
        <v>157</v>
      </c>
      <c r="U3" s="234" t="s">
        <v>157</v>
      </c>
      <c r="V3" s="234" t="s">
        <v>175</v>
      </c>
      <c r="W3" s="234" t="s">
        <v>176</v>
      </c>
      <c r="X3" s="234" t="s">
        <v>177</v>
      </c>
      <c r="Y3" s="234" t="s">
        <v>157</v>
      </c>
      <c r="Z3" s="234" t="s">
        <v>157</v>
      </c>
      <c r="AA3" s="234" t="s">
        <v>157</v>
      </c>
      <c r="AB3" s="234" t="s">
        <v>157</v>
      </c>
      <c r="AC3" s="234" t="s">
        <v>157</v>
      </c>
      <c r="AD3" s="236">
        <v>45689</v>
      </c>
    </row>
    <row r="4" spans="1:30">
      <c r="A4" s="234" t="s">
        <v>148</v>
      </c>
      <c r="B4" s="234" t="s">
        <v>149</v>
      </c>
      <c r="C4" s="234" t="s">
        <v>150</v>
      </c>
      <c r="D4" s="234" t="s">
        <v>178</v>
      </c>
      <c r="E4" s="236">
        <v>45667</v>
      </c>
      <c r="F4" s="234" t="s">
        <v>171</v>
      </c>
      <c r="G4" s="236">
        <v>45689</v>
      </c>
      <c r="H4" s="234" t="s">
        <v>153</v>
      </c>
      <c r="I4" s="234" t="s">
        <v>157</v>
      </c>
      <c r="J4" s="234" t="s">
        <v>172</v>
      </c>
      <c r="K4" s="237">
        <v>4828.3999999999996</v>
      </c>
      <c r="L4" s="234" t="s">
        <v>156</v>
      </c>
      <c r="M4" s="234" t="s">
        <v>157</v>
      </c>
      <c r="N4" s="237">
        <v>4828.3999999999996</v>
      </c>
      <c r="O4" s="234" t="s">
        <v>156</v>
      </c>
      <c r="P4" s="234" t="s">
        <v>157</v>
      </c>
      <c r="Q4" s="234" t="s">
        <v>162</v>
      </c>
      <c r="R4" s="234" t="s">
        <v>157</v>
      </c>
      <c r="S4" s="239">
        <v>0</v>
      </c>
      <c r="T4" s="234" t="s">
        <v>157</v>
      </c>
      <c r="U4" s="234" t="s">
        <v>157</v>
      </c>
      <c r="V4" s="234" t="s">
        <v>178</v>
      </c>
      <c r="W4" s="234" t="s">
        <v>179</v>
      </c>
      <c r="X4" s="234" t="s">
        <v>180</v>
      </c>
      <c r="Y4" s="234" t="s">
        <v>157</v>
      </c>
      <c r="Z4" s="234" t="s">
        <v>157</v>
      </c>
      <c r="AA4" s="234" t="s">
        <v>157</v>
      </c>
      <c r="AB4" s="234" t="s">
        <v>157</v>
      </c>
      <c r="AC4" s="234" t="s">
        <v>157</v>
      </c>
      <c r="AD4" s="236">
        <v>45689</v>
      </c>
    </row>
    <row r="5" spans="1:30">
      <c r="A5" s="234" t="s">
        <v>148</v>
      </c>
      <c r="B5" s="234" t="s">
        <v>149</v>
      </c>
      <c r="C5" s="234" t="s">
        <v>150</v>
      </c>
      <c r="D5" s="234" t="s">
        <v>181</v>
      </c>
      <c r="E5" s="236">
        <v>45696</v>
      </c>
      <c r="F5" s="234" t="s">
        <v>182</v>
      </c>
      <c r="G5" s="236">
        <v>45696</v>
      </c>
      <c r="H5" s="234" t="s">
        <v>153</v>
      </c>
      <c r="I5" s="234" t="s">
        <v>183</v>
      </c>
      <c r="J5" s="234" t="s">
        <v>172</v>
      </c>
      <c r="K5" s="237">
        <v>1185.6099999999999</v>
      </c>
      <c r="L5" s="234" t="s">
        <v>156</v>
      </c>
      <c r="M5" s="234" t="s">
        <v>157</v>
      </c>
      <c r="N5" s="237">
        <v>1185.6099999999999</v>
      </c>
      <c r="O5" s="234" t="s">
        <v>156</v>
      </c>
      <c r="P5" s="234" t="s">
        <v>157</v>
      </c>
      <c r="Q5" s="234" t="s">
        <v>162</v>
      </c>
      <c r="R5" s="234" t="s">
        <v>184</v>
      </c>
      <c r="S5" s="239">
        <v>0</v>
      </c>
      <c r="T5" s="234" t="s">
        <v>157</v>
      </c>
      <c r="U5" s="234" t="s">
        <v>185</v>
      </c>
      <c r="V5" s="234" t="s">
        <v>157</v>
      </c>
      <c r="W5" s="234" t="s">
        <v>186</v>
      </c>
      <c r="X5" s="234" t="s">
        <v>187</v>
      </c>
      <c r="Y5" s="234" t="s">
        <v>157</v>
      </c>
      <c r="Z5" s="234" t="s">
        <v>157</v>
      </c>
      <c r="AA5" s="234" t="s">
        <v>157</v>
      </c>
      <c r="AB5" s="234" t="s">
        <v>157</v>
      </c>
      <c r="AC5" s="234" t="s">
        <v>157</v>
      </c>
      <c r="AD5" s="236"/>
    </row>
    <row r="6" spans="1:30">
      <c r="A6" s="234" t="s">
        <v>148</v>
      </c>
      <c r="B6" s="234" t="s">
        <v>149</v>
      </c>
      <c r="C6" s="234" t="s">
        <v>150</v>
      </c>
      <c r="D6" s="234" t="s">
        <v>181</v>
      </c>
      <c r="E6" s="236">
        <v>45696</v>
      </c>
      <c r="F6" s="234" t="s">
        <v>182</v>
      </c>
      <c r="G6" s="236">
        <v>45696</v>
      </c>
      <c r="H6" s="234" t="s">
        <v>153</v>
      </c>
      <c r="I6" s="234" t="s">
        <v>183</v>
      </c>
      <c r="J6" s="234" t="s">
        <v>172</v>
      </c>
      <c r="K6" s="237">
        <v>1079.19</v>
      </c>
      <c r="L6" s="234" t="s">
        <v>156</v>
      </c>
      <c r="M6" s="234" t="s">
        <v>157</v>
      </c>
      <c r="N6" s="237">
        <v>1079.19</v>
      </c>
      <c r="O6" s="234" t="s">
        <v>156</v>
      </c>
      <c r="P6" s="234" t="s">
        <v>157</v>
      </c>
      <c r="Q6" s="234" t="s">
        <v>162</v>
      </c>
      <c r="R6" s="234" t="s">
        <v>184</v>
      </c>
      <c r="S6" s="239">
        <v>0</v>
      </c>
      <c r="T6" s="234" t="s">
        <v>157</v>
      </c>
      <c r="U6" s="234" t="s">
        <v>185</v>
      </c>
      <c r="V6" s="234" t="s">
        <v>157</v>
      </c>
      <c r="W6" s="234" t="s">
        <v>186</v>
      </c>
      <c r="X6" s="234" t="s">
        <v>187</v>
      </c>
      <c r="Y6" s="234" t="s">
        <v>157</v>
      </c>
      <c r="Z6" s="234" t="s">
        <v>157</v>
      </c>
      <c r="AA6" s="234" t="s">
        <v>157</v>
      </c>
      <c r="AB6" s="234" t="s">
        <v>157</v>
      </c>
      <c r="AC6" s="234" t="s">
        <v>157</v>
      </c>
      <c r="AD6" s="236"/>
    </row>
    <row r="7" spans="1:30">
      <c r="A7" s="234" t="s">
        <v>148</v>
      </c>
      <c r="B7" s="234" t="s">
        <v>149</v>
      </c>
      <c r="C7" s="234" t="s">
        <v>150</v>
      </c>
      <c r="D7" s="234" t="s">
        <v>188</v>
      </c>
      <c r="E7" s="236">
        <v>45698</v>
      </c>
      <c r="F7" s="234" t="s">
        <v>182</v>
      </c>
      <c r="G7" s="236">
        <v>45698</v>
      </c>
      <c r="H7" s="234" t="s">
        <v>153</v>
      </c>
      <c r="I7" s="234" t="s">
        <v>189</v>
      </c>
      <c r="J7" s="234" t="s">
        <v>172</v>
      </c>
      <c r="K7" s="237">
        <v>1041.1300000000001</v>
      </c>
      <c r="L7" s="234" t="s">
        <v>156</v>
      </c>
      <c r="M7" s="234" t="s">
        <v>157</v>
      </c>
      <c r="N7" s="237">
        <v>1041.1300000000001</v>
      </c>
      <c r="O7" s="234" t="s">
        <v>156</v>
      </c>
      <c r="P7" s="234" t="s">
        <v>157</v>
      </c>
      <c r="Q7" s="234" t="s">
        <v>162</v>
      </c>
      <c r="R7" s="234" t="s">
        <v>184</v>
      </c>
      <c r="S7" s="239">
        <v>0</v>
      </c>
      <c r="T7" s="234" t="s">
        <v>157</v>
      </c>
      <c r="U7" s="234" t="s">
        <v>190</v>
      </c>
      <c r="V7" s="234" t="s">
        <v>157</v>
      </c>
      <c r="W7" s="234" t="s">
        <v>191</v>
      </c>
      <c r="X7" s="234" t="s">
        <v>192</v>
      </c>
      <c r="Y7" s="234" t="s">
        <v>157</v>
      </c>
      <c r="Z7" s="234" t="s">
        <v>157</v>
      </c>
      <c r="AA7" s="234" t="s">
        <v>157</v>
      </c>
      <c r="AB7" s="234" t="s">
        <v>157</v>
      </c>
      <c r="AC7" s="234" t="s">
        <v>157</v>
      </c>
      <c r="AD7" s="236"/>
    </row>
    <row r="8" spans="1:30">
      <c r="A8" s="234" t="s">
        <v>148</v>
      </c>
      <c r="B8" s="234" t="s">
        <v>149</v>
      </c>
      <c r="C8" s="234" t="s">
        <v>150</v>
      </c>
      <c r="D8" s="234" t="s">
        <v>193</v>
      </c>
      <c r="E8" s="236">
        <v>45698</v>
      </c>
      <c r="F8" s="234" t="s">
        <v>182</v>
      </c>
      <c r="G8" s="236">
        <v>45698</v>
      </c>
      <c r="H8" s="234" t="s">
        <v>153</v>
      </c>
      <c r="I8" s="234" t="s">
        <v>194</v>
      </c>
      <c r="J8" s="234" t="s">
        <v>172</v>
      </c>
      <c r="K8" s="237">
        <v>10691.72</v>
      </c>
      <c r="L8" s="234" t="s">
        <v>156</v>
      </c>
      <c r="M8" s="234" t="s">
        <v>157</v>
      </c>
      <c r="N8" s="237">
        <v>10691.72</v>
      </c>
      <c r="O8" s="234" t="s">
        <v>156</v>
      </c>
      <c r="P8" s="234" t="s">
        <v>195</v>
      </c>
      <c r="Q8" s="234" t="s">
        <v>162</v>
      </c>
      <c r="R8" s="234" t="s">
        <v>196</v>
      </c>
      <c r="S8" s="239">
        <v>0</v>
      </c>
      <c r="T8" s="234" t="s">
        <v>157</v>
      </c>
      <c r="U8" s="234" t="s">
        <v>197</v>
      </c>
      <c r="V8" s="234" t="s">
        <v>157</v>
      </c>
      <c r="W8" s="234" t="s">
        <v>198</v>
      </c>
      <c r="X8" s="234" t="s">
        <v>199</v>
      </c>
      <c r="Y8" s="234" t="s">
        <v>157</v>
      </c>
      <c r="Z8" s="234" t="s">
        <v>157</v>
      </c>
      <c r="AA8" s="234" t="s">
        <v>157</v>
      </c>
      <c r="AB8" s="234" t="s">
        <v>157</v>
      </c>
      <c r="AC8" s="234" t="s">
        <v>157</v>
      </c>
      <c r="AD8" s="236"/>
    </row>
    <row r="9" spans="1:30">
      <c r="A9" s="234" t="s">
        <v>148</v>
      </c>
      <c r="B9" s="234" t="s">
        <v>149</v>
      </c>
      <c r="C9" s="234" t="s">
        <v>150</v>
      </c>
      <c r="D9" s="234" t="s">
        <v>200</v>
      </c>
      <c r="E9" s="236">
        <v>45698</v>
      </c>
      <c r="F9" s="234" t="s">
        <v>182</v>
      </c>
      <c r="G9" s="236">
        <v>45698</v>
      </c>
      <c r="H9" s="234" t="s">
        <v>153</v>
      </c>
      <c r="I9" s="234" t="s">
        <v>201</v>
      </c>
      <c r="J9" s="234" t="s">
        <v>172</v>
      </c>
      <c r="K9" s="237">
        <v>16540.84</v>
      </c>
      <c r="L9" s="234" t="s">
        <v>156</v>
      </c>
      <c r="M9" s="234" t="s">
        <v>157</v>
      </c>
      <c r="N9" s="237">
        <v>16540.84</v>
      </c>
      <c r="O9" s="234" t="s">
        <v>156</v>
      </c>
      <c r="P9" s="234" t="s">
        <v>195</v>
      </c>
      <c r="Q9" s="234" t="s">
        <v>162</v>
      </c>
      <c r="R9" s="234" t="s">
        <v>196</v>
      </c>
      <c r="S9" s="239">
        <v>0</v>
      </c>
      <c r="T9" s="234" t="s">
        <v>157</v>
      </c>
      <c r="U9" s="234" t="s">
        <v>202</v>
      </c>
      <c r="V9" s="234" t="s">
        <v>157</v>
      </c>
      <c r="W9" s="234" t="s">
        <v>203</v>
      </c>
      <c r="X9" s="234" t="s">
        <v>204</v>
      </c>
      <c r="Y9" s="234" t="s">
        <v>157</v>
      </c>
      <c r="Z9" s="234" t="s">
        <v>157</v>
      </c>
      <c r="AA9" s="234" t="s">
        <v>157</v>
      </c>
      <c r="AB9" s="234" t="s">
        <v>157</v>
      </c>
      <c r="AC9" s="234" t="s">
        <v>157</v>
      </c>
      <c r="AD9" s="236"/>
    </row>
    <row r="10" spans="1:30">
      <c r="A10" s="234" t="s">
        <v>148</v>
      </c>
      <c r="B10" s="234" t="s">
        <v>149</v>
      </c>
      <c r="C10" s="234" t="s">
        <v>150</v>
      </c>
      <c r="D10" s="234" t="s">
        <v>205</v>
      </c>
      <c r="E10" s="236">
        <v>45696</v>
      </c>
      <c r="F10" s="234" t="s">
        <v>206</v>
      </c>
      <c r="G10" s="236">
        <v>45699</v>
      </c>
      <c r="H10" s="234" t="s">
        <v>153</v>
      </c>
      <c r="I10" s="234" t="s">
        <v>207</v>
      </c>
      <c r="J10" s="234" t="s">
        <v>172</v>
      </c>
      <c r="K10" s="237">
        <v>346.32</v>
      </c>
      <c r="L10" s="234" t="s">
        <v>156</v>
      </c>
      <c r="M10" s="234" t="s">
        <v>157</v>
      </c>
      <c r="N10" s="237">
        <v>346.32</v>
      </c>
      <c r="O10" s="234" t="s">
        <v>156</v>
      </c>
      <c r="P10" s="234" t="s">
        <v>157</v>
      </c>
      <c r="Q10" s="234" t="s">
        <v>162</v>
      </c>
      <c r="R10" s="234" t="s">
        <v>196</v>
      </c>
      <c r="S10" s="239">
        <v>0</v>
      </c>
      <c r="T10" s="234" t="s">
        <v>157</v>
      </c>
      <c r="U10" s="234" t="s">
        <v>207</v>
      </c>
      <c r="V10" s="234" t="s">
        <v>157</v>
      </c>
      <c r="W10" s="234" t="s">
        <v>208</v>
      </c>
      <c r="X10" s="234" t="s">
        <v>208</v>
      </c>
      <c r="Y10" s="234" t="s">
        <v>157</v>
      </c>
      <c r="Z10" s="234" t="s">
        <v>157</v>
      </c>
      <c r="AA10" s="234" t="s">
        <v>157</v>
      </c>
      <c r="AB10" s="234" t="s">
        <v>157</v>
      </c>
      <c r="AC10" s="234" t="s">
        <v>157</v>
      </c>
      <c r="AD10" s="236"/>
    </row>
    <row r="11" spans="1:30">
      <c r="A11" s="234" t="s">
        <v>148</v>
      </c>
      <c r="B11" s="234" t="s">
        <v>149</v>
      </c>
      <c r="C11" s="234" t="s">
        <v>150</v>
      </c>
      <c r="D11" s="234" t="s">
        <v>209</v>
      </c>
      <c r="E11" s="236">
        <v>45678</v>
      </c>
      <c r="F11" s="234" t="s">
        <v>206</v>
      </c>
      <c r="G11" s="236">
        <v>45702</v>
      </c>
      <c r="H11" s="234" t="s">
        <v>153</v>
      </c>
      <c r="I11" s="234" t="s">
        <v>210</v>
      </c>
      <c r="J11" s="234" t="s">
        <v>172</v>
      </c>
      <c r="K11" s="237">
        <v>49031.62</v>
      </c>
      <c r="L11" s="234" t="s">
        <v>156</v>
      </c>
      <c r="M11" s="234" t="s">
        <v>157</v>
      </c>
      <c r="N11" s="237">
        <v>49031.62</v>
      </c>
      <c r="O11" s="234" t="s">
        <v>156</v>
      </c>
      <c r="P11" s="234" t="s">
        <v>157</v>
      </c>
      <c r="Q11" s="234" t="s">
        <v>162</v>
      </c>
      <c r="R11" s="234" t="s">
        <v>196</v>
      </c>
      <c r="S11" s="239">
        <v>0</v>
      </c>
      <c r="T11" s="234" t="s">
        <v>157</v>
      </c>
      <c r="U11" s="234" t="s">
        <v>210</v>
      </c>
      <c r="V11" s="234" t="s">
        <v>157</v>
      </c>
      <c r="W11" s="234" t="s">
        <v>211</v>
      </c>
      <c r="X11" s="234" t="s">
        <v>211</v>
      </c>
      <c r="Y11" s="234" t="s">
        <v>157</v>
      </c>
      <c r="Z11" s="234" t="s">
        <v>157</v>
      </c>
      <c r="AA11" s="234" t="s">
        <v>157</v>
      </c>
      <c r="AB11" s="234" t="s">
        <v>157</v>
      </c>
      <c r="AC11" s="234" t="s">
        <v>157</v>
      </c>
      <c r="AD11" s="236"/>
    </row>
    <row r="12" spans="1:30">
      <c r="A12" s="234" t="s">
        <v>148</v>
      </c>
      <c r="B12" s="234" t="s">
        <v>149</v>
      </c>
      <c r="C12" s="234" t="s">
        <v>150</v>
      </c>
      <c r="D12" s="234" t="s">
        <v>212</v>
      </c>
      <c r="E12" s="236">
        <v>45702</v>
      </c>
      <c r="F12" s="234" t="s">
        <v>182</v>
      </c>
      <c r="G12" s="236">
        <v>45702</v>
      </c>
      <c r="H12" s="234" t="s">
        <v>153</v>
      </c>
      <c r="I12" s="234" t="s">
        <v>194</v>
      </c>
      <c r="J12" s="234" t="s">
        <v>172</v>
      </c>
      <c r="K12" s="237">
        <v>456.45</v>
      </c>
      <c r="L12" s="234" t="s">
        <v>156</v>
      </c>
      <c r="M12" s="234" t="s">
        <v>157</v>
      </c>
      <c r="N12" s="237">
        <v>456.45</v>
      </c>
      <c r="O12" s="234" t="s">
        <v>156</v>
      </c>
      <c r="P12" s="234" t="s">
        <v>157</v>
      </c>
      <c r="Q12" s="234" t="s">
        <v>162</v>
      </c>
      <c r="R12" s="234" t="s">
        <v>196</v>
      </c>
      <c r="S12" s="239">
        <v>0</v>
      </c>
      <c r="T12" s="234" t="s">
        <v>157</v>
      </c>
      <c r="U12" s="234" t="s">
        <v>213</v>
      </c>
      <c r="V12" s="234" t="s">
        <v>157</v>
      </c>
      <c r="W12" s="234" t="s">
        <v>214</v>
      </c>
      <c r="X12" s="234" t="s">
        <v>215</v>
      </c>
      <c r="Y12" s="234" t="s">
        <v>157</v>
      </c>
      <c r="Z12" s="234" t="s">
        <v>157</v>
      </c>
      <c r="AA12" s="234" t="s">
        <v>157</v>
      </c>
      <c r="AB12" s="234" t="s">
        <v>157</v>
      </c>
      <c r="AC12" s="234" t="s">
        <v>157</v>
      </c>
      <c r="AD12" s="236"/>
    </row>
    <row r="13" spans="1:30">
      <c r="A13" s="234" t="s">
        <v>148</v>
      </c>
      <c r="B13" s="234" t="s">
        <v>149</v>
      </c>
      <c r="C13" s="234" t="s">
        <v>150</v>
      </c>
      <c r="D13" s="234" t="s">
        <v>216</v>
      </c>
      <c r="E13" s="236">
        <v>45712</v>
      </c>
      <c r="F13" s="234" t="s">
        <v>182</v>
      </c>
      <c r="G13" s="236">
        <v>45712</v>
      </c>
      <c r="H13" s="234" t="s">
        <v>153</v>
      </c>
      <c r="I13" s="234" t="s">
        <v>189</v>
      </c>
      <c r="J13" s="234" t="s">
        <v>172</v>
      </c>
      <c r="K13" s="237">
        <v>4726.5600000000004</v>
      </c>
      <c r="L13" s="234" t="s">
        <v>156</v>
      </c>
      <c r="M13" s="234" t="s">
        <v>157</v>
      </c>
      <c r="N13" s="237">
        <v>4726.5600000000004</v>
      </c>
      <c r="O13" s="234" t="s">
        <v>156</v>
      </c>
      <c r="P13" s="234" t="s">
        <v>157</v>
      </c>
      <c r="Q13" s="234" t="s">
        <v>162</v>
      </c>
      <c r="R13" s="234" t="s">
        <v>196</v>
      </c>
      <c r="S13" s="239">
        <v>0</v>
      </c>
      <c r="T13" s="234" t="s">
        <v>157</v>
      </c>
      <c r="U13" s="234" t="s">
        <v>217</v>
      </c>
      <c r="V13" s="234" t="s">
        <v>157</v>
      </c>
      <c r="W13" s="234" t="s">
        <v>218</v>
      </c>
      <c r="X13" s="234" t="s">
        <v>219</v>
      </c>
      <c r="Y13" s="234" t="s">
        <v>157</v>
      </c>
      <c r="Z13" s="234" t="s">
        <v>157</v>
      </c>
      <c r="AA13" s="234" t="s">
        <v>157</v>
      </c>
      <c r="AB13" s="234" t="s">
        <v>157</v>
      </c>
      <c r="AC13" s="234" t="s">
        <v>157</v>
      </c>
      <c r="AD13" s="236"/>
    </row>
    <row r="14" spans="1:30">
      <c r="A14" s="234" t="s">
        <v>148</v>
      </c>
      <c r="B14" s="234" t="s">
        <v>149</v>
      </c>
      <c r="C14" s="234" t="s">
        <v>150</v>
      </c>
      <c r="D14" s="234" t="s">
        <v>220</v>
      </c>
      <c r="E14" s="236">
        <v>45713</v>
      </c>
      <c r="F14" s="234" t="s">
        <v>206</v>
      </c>
      <c r="G14" s="236">
        <v>45715</v>
      </c>
      <c r="H14" s="234" t="s">
        <v>153</v>
      </c>
      <c r="I14" s="234" t="s">
        <v>221</v>
      </c>
      <c r="J14" s="234" t="s">
        <v>172</v>
      </c>
      <c r="K14" s="237">
        <v>1193.24</v>
      </c>
      <c r="L14" s="234" t="s">
        <v>156</v>
      </c>
      <c r="M14" s="234" t="s">
        <v>157</v>
      </c>
      <c r="N14" s="237">
        <v>1193.24</v>
      </c>
      <c r="O14" s="234" t="s">
        <v>156</v>
      </c>
      <c r="P14" s="234" t="s">
        <v>157</v>
      </c>
      <c r="Q14" s="234" t="s">
        <v>162</v>
      </c>
      <c r="R14" s="234" t="s">
        <v>184</v>
      </c>
      <c r="S14" s="239">
        <v>0</v>
      </c>
      <c r="T14" s="234" t="s">
        <v>157</v>
      </c>
      <c r="U14" s="234" t="s">
        <v>221</v>
      </c>
      <c r="V14" s="234" t="s">
        <v>157</v>
      </c>
      <c r="W14" s="234" t="s">
        <v>222</v>
      </c>
      <c r="X14" s="234" t="s">
        <v>222</v>
      </c>
      <c r="Y14" s="234" t="s">
        <v>157</v>
      </c>
      <c r="Z14" s="234" t="s">
        <v>157</v>
      </c>
      <c r="AA14" s="234" t="s">
        <v>157</v>
      </c>
      <c r="AB14" s="234" t="s">
        <v>157</v>
      </c>
      <c r="AC14" s="234" t="s">
        <v>157</v>
      </c>
      <c r="AD14" s="236"/>
    </row>
    <row r="15" spans="1:30">
      <c r="A15" s="234" t="s">
        <v>148</v>
      </c>
      <c r="B15" s="234" t="s">
        <v>149</v>
      </c>
      <c r="C15" s="234" t="s">
        <v>150</v>
      </c>
      <c r="D15" s="234" t="s">
        <v>223</v>
      </c>
      <c r="E15" s="236">
        <v>45667</v>
      </c>
      <c r="F15" s="234" t="s">
        <v>182</v>
      </c>
      <c r="G15" s="236">
        <v>45689</v>
      </c>
      <c r="H15" s="234" t="s">
        <v>153</v>
      </c>
      <c r="I15" s="234" t="s">
        <v>183</v>
      </c>
      <c r="J15" s="234" t="s">
        <v>172</v>
      </c>
      <c r="K15" s="237">
        <v>-13397.9</v>
      </c>
      <c r="L15" s="234" t="s">
        <v>156</v>
      </c>
      <c r="M15" s="234" t="s">
        <v>157</v>
      </c>
      <c r="N15" s="237">
        <v>-13397.9</v>
      </c>
      <c r="O15" s="234" t="s">
        <v>156</v>
      </c>
      <c r="P15" s="234" t="s">
        <v>157</v>
      </c>
      <c r="Q15" s="234" t="s">
        <v>159</v>
      </c>
      <c r="R15" s="234" t="s">
        <v>184</v>
      </c>
      <c r="S15" s="239">
        <v>0</v>
      </c>
      <c r="T15" s="234" t="s">
        <v>157</v>
      </c>
      <c r="U15" s="234" t="s">
        <v>224</v>
      </c>
      <c r="V15" s="234" t="s">
        <v>223</v>
      </c>
      <c r="W15" s="234" t="s">
        <v>225</v>
      </c>
      <c r="X15" s="234" t="s">
        <v>226</v>
      </c>
      <c r="Y15" s="234" t="s">
        <v>157</v>
      </c>
      <c r="Z15" s="234" t="s">
        <v>157</v>
      </c>
      <c r="AA15" s="234" t="s">
        <v>157</v>
      </c>
      <c r="AB15" s="234" t="s">
        <v>157</v>
      </c>
      <c r="AC15" s="234" t="s">
        <v>157</v>
      </c>
      <c r="AD15" s="236">
        <v>45689</v>
      </c>
    </row>
    <row r="16" spans="1:30">
      <c r="A16" s="234" t="s">
        <v>148</v>
      </c>
      <c r="B16" s="234" t="s">
        <v>149</v>
      </c>
      <c r="C16" s="234" t="s">
        <v>150</v>
      </c>
      <c r="D16" s="234" t="s">
        <v>227</v>
      </c>
      <c r="E16" s="236">
        <v>45667</v>
      </c>
      <c r="F16" s="234" t="s">
        <v>182</v>
      </c>
      <c r="G16" s="236">
        <v>45689</v>
      </c>
      <c r="H16" s="234" t="s">
        <v>153</v>
      </c>
      <c r="I16" s="234" t="s">
        <v>183</v>
      </c>
      <c r="J16" s="234" t="s">
        <v>172</v>
      </c>
      <c r="K16" s="237">
        <v>-4828.3999999999996</v>
      </c>
      <c r="L16" s="234" t="s">
        <v>156</v>
      </c>
      <c r="M16" s="234" t="s">
        <v>157</v>
      </c>
      <c r="N16" s="237">
        <v>-4828.3999999999996</v>
      </c>
      <c r="O16" s="234" t="s">
        <v>156</v>
      </c>
      <c r="P16" s="234" t="s">
        <v>157</v>
      </c>
      <c r="Q16" s="234" t="s">
        <v>159</v>
      </c>
      <c r="R16" s="234" t="s">
        <v>184</v>
      </c>
      <c r="S16" s="239">
        <v>0</v>
      </c>
      <c r="T16" s="234" t="s">
        <v>157</v>
      </c>
      <c r="U16" s="234" t="s">
        <v>228</v>
      </c>
      <c r="V16" s="234" t="s">
        <v>227</v>
      </c>
      <c r="W16" s="234" t="s">
        <v>229</v>
      </c>
      <c r="X16" s="234" t="s">
        <v>230</v>
      </c>
      <c r="Y16" s="234" t="s">
        <v>157</v>
      </c>
      <c r="Z16" s="234" t="s">
        <v>157</v>
      </c>
      <c r="AA16" s="234" t="s">
        <v>157</v>
      </c>
      <c r="AB16" s="234" t="s">
        <v>157</v>
      </c>
      <c r="AC16" s="234" t="s">
        <v>157</v>
      </c>
      <c r="AD16" s="236">
        <v>45689</v>
      </c>
    </row>
    <row r="17" spans="1:30">
      <c r="A17" s="234" t="s">
        <v>148</v>
      </c>
      <c r="B17" s="234" t="s">
        <v>149</v>
      </c>
      <c r="C17" s="234" t="s">
        <v>150</v>
      </c>
      <c r="D17" s="234" t="s">
        <v>231</v>
      </c>
      <c r="E17" s="236">
        <v>45667</v>
      </c>
      <c r="F17" s="234" t="s">
        <v>182</v>
      </c>
      <c r="G17" s="236">
        <v>45689</v>
      </c>
      <c r="H17" s="234" t="s">
        <v>153</v>
      </c>
      <c r="I17" s="234" t="s">
        <v>183</v>
      </c>
      <c r="J17" s="234" t="s">
        <v>172</v>
      </c>
      <c r="K17" s="237">
        <v>-6949.21</v>
      </c>
      <c r="L17" s="234" t="s">
        <v>156</v>
      </c>
      <c r="M17" s="234" t="s">
        <v>157</v>
      </c>
      <c r="N17" s="237">
        <v>-6949.21</v>
      </c>
      <c r="O17" s="234" t="s">
        <v>156</v>
      </c>
      <c r="P17" s="234" t="s">
        <v>157</v>
      </c>
      <c r="Q17" s="234" t="s">
        <v>159</v>
      </c>
      <c r="R17" s="234" t="s">
        <v>184</v>
      </c>
      <c r="S17" s="239">
        <v>0</v>
      </c>
      <c r="T17" s="234" t="s">
        <v>157</v>
      </c>
      <c r="U17" s="234" t="s">
        <v>232</v>
      </c>
      <c r="V17" s="234" t="s">
        <v>231</v>
      </c>
      <c r="W17" s="234" t="s">
        <v>233</v>
      </c>
      <c r="X17" s="234" t="s">
        <v>234</v>
      </c>
      <c r="Y17" s="234" t="s">
        <v>157</v>
      </c>
      <c r="Z17" s="234" t="s">
        <v>157</v>
      </c>
      <c r="AA17" s="234" t="s">
        <v>157</v>
      </c>
      <c r="AB17" s="234" t="s">
        <v>157</v>
      </c>
      <c r="AC17" s="234" t="s">
        <v>157</v>
      </c>
      <c r="AD17" s="236">
        <v>45689</v>
      </c>
    </row>
    <row r="18" spans="1:30">
      <c r="A18" s="234" t="s">
        <v>148</v>
      </c>
      <c r="B18" s="234" t="s">
        <v>149</v>
      </c>
      <c r="C18" s="234" t="s">
        <v>150</v>
      </c>
      <c r="D18" s="234" t="s">
        <v>235</v>
      </c>
      <c r="E18" s="236">
        <v>45714</v>
      </c>
      <c r="F18" s="234" t="s">
        <v>182</v>
      </c>
      <c r="G18" s="236">
        <v>45714</v>
      </c>
      <c r="H18" s="234" t="s">
        <v>153</v>
      </c>
      <c r="I18" s="234" t="s">
        <v>183</v>
      </c>
      <c r="J18" s="234" t="s">
        <v>172</v>
      </c>
      <c r="K18" s="237">
        <v>4828.3999999999996</v>
      </c>
      <c r="L18" s="234" t="s">
        <v>156</v>
      </c>
      <c r="M18" s="234" t="s">
        <v>157</v>
      </c>
      <c r="N18" s="237">
        <v>4828.3999999999996</v>
      </c>
      <c r="O18" s="234" t="s">
        <v>156</v>
      </c>
      <c r="P18" s="234" t="s">
        <v>157</v>
      </c>
      <c r="Q18" s="234" t="s">
        <v>162</v>
      </c>
      <c r="R18" s="234" t="s">
        <v>184</v>
      </c>
      <c r="S18" s="239">
        <v>0</v>
      </c>
      <c r="T18" s="234" t="s">
        <v>157</v>
      </c>
      <c r="U18" s="234" t="s">
        <v>236</v>
      </c>
      <c r="V18" s="234" t="s">
        <v>157</v>
      </c>
      <c r="W18" s="234" t="s">
        <v>237</v>
      </c>
      <c r="X18" s="234" t="s">
        <v>230</v>
      </c>
      <c r="Y18" s="234" t="s">
        <v>157</v>
      </c>
      <c r="Z18" s="234" t="s">
        <v>157</v>
      </c>
      <c r="AA18" s="234" t="s">
        <v>157</v>
      </c>
      <c r="AB18" s="234" t="s">
        <v>157</v>
      </c>
      <c r="AC18" s="234" t="s">
        <v>157</v>
      </c>
      <c r="AD18" s="236"/>
    </row>
    <row r="19" spans="1:30">
      <c r="A19" s="234" t="s">
        <v>148</v>
      </c>
      <c r="B19" s="234" t="s">
        <v>149</v>
      </c>
      <c r="C19" s="234" t="s">
        <v>150</v>
      </c>
      <c r="D19" s="234" t="s">
        <v>238</v>
      </c>
      <c r="E19" s="236">
        <v>45714</v>
      </c>
      <c r="F19" s="234" t="s">
        <v>182</v>
      </c>
      <c r="G19" s="236">
        <v>45714</v>
      </c>
      <c r="H19" s="234" t="s">
        <v>153</v>
      </c>
      <c r="I19" s="234" t="s">
        <v>183</v>
      </c>
      <c r="J19" s="234" t="s">
        <v>172</v>
      </c>
      <c r="K19" s="237">
        <v>20346.97</v>
      </c>
      <c r="L19" s="234" t="s">
        <v>156</v>
      </c>
      <c r="M19" s="234" t="s">
        <v>157</v>
      </c>
      <c r="N19" s="237">
        <v>20346.97</v>
      </c>
      <c r="O19" s="234" t="s">
        <v>156</v>
      </c>
      <c r="P19" s="234" t="s">
        <v>157</v>
      </c>
      <c r="Q19" s="234" t="s">
        <v>162</v>
      </c>
      <c r="R19" s="234" t="s">
        <v>184</v>
      </c>
      <c r="S19" s="239">
        <v>0</v>
      </c>
      <c r="T19" s="234" t="s">
        <v>157</v>
      </c>
      <c r="U19" s="234" t="s">
        <v>239</v>
      </c>
      <c r="V19" s="234" t="s">
        <v>157</v>
      </c>
      <c r="W19" s="234" t="s">
        <v>240</v>
      </c>
      <c r="X19" s="234" t="s">
        <v>241</v>
      </c>
      <c r="Y19" s="234" t="s">
        <v>157</v>
      </c>
      <c r="Z19" s="234" t="s">
        <v>157</v>
      </c>
      <c r="AA19" s="234" t="s">
        <v>157</v>
      </c>
      <c r="AB19" s="234" t="s">
        <v>157</v>
      </c>
      <c r="AC19" s="234" t="s">
        <v>157</v>
      </c>
      <c r="AD19" s="236"/>
    </row>
    <row r="20" spans="1:30">
      <c r="A20" s="234" t="s">
        <v>148</v>
      </c>
      <c r="B20" s="234" t="s">
        <v>149</v>
      </c>
      <c r="C20" s="234" t="s">
        <v>150</v>
      </c>
      <c r="D20" s="234" t="s">
        <v>242</v>
      </c>
      <c r="E20" s="236">
        <v>45715</v>
      </c>
      <c r="F20" s="234" t="s">
        <v>182</v>
      </c>
      <c r="G20" s="236">
        <v>45715</v>
      </c>
      <c r="H20" s="234" t="s">
        <v>153</v>
      </c>
      <c r="I20" s="234" t="s">
        <v>243</v>
      </c>
      <c r="J20" s="234" t="s">
        <v>172</v>
      </c>
      <c r="K20" s="237">
        <v>2028.35</v>
      </c>
      <c r="L20" s="234" t="s">
        <v>156</v>
      </c>
      <c r="M20" s="234" t="s">
        <v>157</v>
      </c>
      <c r="N20" s="237">
        <v>2028.35</v>
      </c>
      <c r="O20" s="234" t="s">
        <v>156</v>
      </c>
      <c r="P20" s="234" t="s">
        <v>157</v>
      </c>
      <c r="Q20" s="234" t="s">
        <v>162</v>
      </c>
      <c r="R20" s="234" t="s">
        <v>184</v>
      </c>
      <c r="S20" s="239">
        <v>0</v>
      </c>
      <c r="T20" s="234" t="s">
        <v>157</v>
      </c>
      <c r="U20" s="234" t="s">
        <v>244</v>
      </c>
      <c r="V20" s="234" t="s">
        <v>157</v>
      </c>
      <c r="W20" s="234" t="s">
        <v>245</v>
      </c>
      <c r="X20" s="234" t="s">
        <v>246</v>
      </c>
      <c r="Y20" s="234" t="s">
        <v>157</v>
      </c>
      <c r="Z20" s="234" t="s">
        <v>157</v>
      </c>
      <c r="AA20" s="234" t="s">
        <v>157</v>
      </c>
      <c r="AB20" s="234" t="s">
        <v>157</v>
      </c>
      <c r="AC20" s="234" t="s">
        <v>157</v>
      </c>
      <c r="AD20" s="236"/>
    </row>
    <row r="21" spans="1:30">
      <c r="A21" s="234" t="s">
        <v>148</v>
      </c>
      <c r="B21" s="234" t="s">
        <v>149</v>
      </c>
      <c r="C21" s="234" t="s">
        <v>150</v>
      </c>
      <c r="D21" s="234" t="s">
        <v>242</v>
      </c>
      <c r="E21" s="236">
        <v>45715</v>
      </c>
      <c r="F21" s="234" t="s">
        <v>182</v>
      </c>
      <c r="G21" s="236">
        <v>45715</v>
      </c>
      <c r="H21" s="234" t="s">
        <v>153</v>
      </c>
      <c r="I21" s="234" t="s">
        <v>183</v>
      </c>
      <c r="J21" s="234" t="s">
        <v>172</v>
      </c>
      <c r="K21" s="237">
        <v>12728.54</v>
      </c>
      <c r="L21" s="234" t="s">
        <v>156</v>
      </c>
      <c r="M21" s="234" t="s">
        <v>157</v>
      </c>
      <c r="N21" s="237">
        <v>12728.54</v>
      </c>
      <c r="O21" s="234" t="s">
        <v>156</v>
      </c>
      <c r="P21" s="234" t="s">
        <v>157</v>
      </c>
      <c r="Q21" s="234" t="s">
        <v>162</v>
      </c>
      <c r="R21" s="234" t="s">
        <v>184</v>
      </c>
      <c r="S21" s="239">
        <v>0</v>
      </c>
      <c r="T21" s="234" t="s">
        <v>157</v>
      </c>
      <c r="U21" s="234" t="s">
        <v>244</v>
      </c>
      <c r="V21" s="234" t="s">
        <v>157</v>
      </c>
      <c r="W21" s="234" t="s">
        <v>245</v>
      </c>
      <c r="X21" s="234" t="s">
        <v>246</v>
      </c>
      <c r="Y21" s="234" t="s">
        <v>157</v>
      </c>
      <c r="Z21" s="234" t="s">
        <v>157</v>
      </c>
      <c r="AA21" s="234" t="s">
        <v>157</v>
      </c>
      <c r="AB21" s="234" t="s">
        <v>157</v>
      </c>
      <c r="AC21" s="234" t="s">
        <v>157</v>
      </c>
      <c r="AD21" s="236"/>
    </row>
    <row r="22" spans="1:30">
      <c r="A22" s="234" t="s">
        <v>148</v>
      </c>
      <c r="B22" s="234" t="s">
        <v>149</v>
      </c>
      <c r="C22" s="234" t="s">
        <v>150</v>
      </c>
      <c r="D22" s="234" t="s">
        <v>247</v>
      </c>
      <c r="E22" s="236">
        <v>45715</v>
      </c>
      <c r="F22" s="234" t="s">
        <v>182</v>
      </c>
      <c r="G22" s="236">
        <v>45715</v>
      </c>
      <c r="H22" s="234" t="s">
        <v>153</v>
      </c>
      <c r="I22" s="234" t="s">
        <v>194</v>
      </c>
      <c r="J22" s="234" t="s">
        <v>172</v>
      </c>
      <c r="K22" s="237">
        <v>1023.1</v>
      </c>
      <c r="L22" s="234" t="s">
        <v>156</v>
      </c>
      <c r="M22" s="234" t="s">
        <v>157</v>
      </c>
      <c r="N22" s="237">
        <v>1023.1</v>
      </c>
      <c r="O22" s="234" t="s">
        <v>156</v>
      </c>
      <c r="P22" s="234" t="s">
        <v>195</v>
      </c>
      <c r="Q22" s="234" t="s">
        <v>162</v>
      </c>
      <c r="R22" s="234" t="s">
        <v>196</v>
      </c>
      <c r="S22" s="239">
        <v>0</v>
      </c>
      <c r="T22" s="234" t="s">
        <v>157</v>
      </c>
      <c r="U22" s="234" t="s">
        <v>248</v>
      </c>
      <c r="V22" s="234" t="s">
        <v>157</v>
      </c>
      <c r="W22" s="234" t="s">
        <v>249</v>
      </c>
      <c r="X22" s="234" t="s">
        <v>250</v>
      </c>
      <c r="Y22" s="234" t="s">
        <v>157</v>
      </c>
      <c r="Z22" s="234" t="s">
        <v>157</v>
      </c>
      <c r="AA22" s="234" t="s">
        <v>157</v>
      </c>
      <c r="AB22" s="234" t="s">
        <v>157</v>
      </c>
      <c r="AC22" s="234" t="s">
        <v>157</v>
      </c>
      <c r="AD22" s="236"/>
    </row>
    <row r="23" spans="1:30">
      <c r="A23" s="234" t="s">
        <v>148</v>
      </c>
      <c r="B23" s="234" t="s">
        <v>149</v>
      </c>
      <c r="C23" s="234" t="s">
        <v>150</v>
      </c>
      <c r="D23" s="234" t="s">
        <v>251</v>
      </c>
      <c r="E23" s="236">
        <v>45715</v>
      </c>
      <c r="F23" s="234" t="s">
        <v>182</v>
      </c>
      <c r="G23" s="236">
        <v>45715</v>
      </c>
      <c r="H23" s="234" t="s">
        <v>153</v>
      </c>
      <c r="I23" s="234" t="s">
        <v>201</v>
      </c>
      <c r="J23" s="234" t="s">
        <v>172</v>
      </c>
      <c r="K23" s="237">
        <v>11530.5</v>
      </c>
      <c r="L23" s="234" t="s">
        <v>156</v>
      </c>
      <c r="M23" s="234" t="s">
        <v>157</v>
      </c>
      <c r="N23" s="237">
        <v>11530.5</v>
      </c>
      <c r="O23" s="234" t="s">
        <v>156</v>
      </c>
      <c r="P23" s="234" t="s">
        <v>195</v>
      </c>
      <c r="Q23" s="234" t="s">
        <v>162</v>
      </c>
      <c r="R23" s="234" t="s">
        <v>196</v>
      </c>
      <c r="S23" s="239">
        <v>0</v>
      </c>
      <c r="T23" s="234" t="s">
        <v>157</v>
      </c>
      <c r="U23" s="234" t="s">
        <v>252</v>
      </c>
      <c r="V23" s="234" t="s">
        <v>157</v>
      </c>
      <c r="W23" s="234" t="s">
        <v>253</v>
      </c>
      <c r="X23" s="234" t="s">
        <v>254</v>
      </c>
      <c r="Y23" s="234" t="s">
        <v>157</v>
      </c>
      <c r="Z23" s="234" t="s">
        <v>157</v>
      </c>
      <c r="AA23" s="234" t="s">
        <v>157</v>
      </c>
      <c r="AB23" s="234" t="s">
        <v>157</v>
      </c>
      <c r="AC23" s="234" t="s">
        <v>157</v>
      </c>
      <c r="AD23" s="236"/>
    </row>
    <row r="24" spans="1:30">
      <c r="A24" s="234" t="s">
        <v>148</v>
      </c>
      <c r="B24" s="234" t="s">
        <v>149</v>
      </c>
      <c r="C24" s="234" t="s">
        <v>150</v>
      </c>
      <c r="D24" s="234" t="s">
        <v>255</v>
      </c>
      <c r="E24" s="236">
        <v>45716</v>
      </c>
      <c r="F24" s="234" t="s">
        <v>182</v>
      </c>
      <c r="G24" s="236">
        <v>45716</v>
      </c>
      <c r="H24" s="234" t="s">
        <v>153</v>
      </c>
      <c r="I24" s="234" t="s">
        <v>256</v>
      </c>
      <c r="J24" s="234" t="s">
        <v>172</v>
      </c>
      <c r="K24" s="237">
        <v>1389.5</v>
      </c>
      <c r="L24" s="234" t="s">
        <v>156</v>
      </c>
      <c r="M24" s="234" t="s">
        <v>157</v>
      </c>
      <c r="N24" s="237">
        <v>1389.5</v>
      </c>
      <c r="O24" s="234" t="s">
        <v>156</v>
      </c>
      <c r="P24" s="234" t="s">
        <v>257</v>
      </c>
      <c r="Q24" s="234" t="s">
        <v>162</v>
      </c>
      <c r="R24" s="234" t="s">
        <v>157</v>
      </c>
      <c r="S24" s="239">
        <v>0</v>
      </c>
      <c r="T24" s="234" t="s">
        <v>157</v>
      </c>
      <c r="U24" s="234" t="s">
        <v>256</v>
      </c>
      <c r="V24" s="234" t="s">
        <v>157</v>
      </c>
      <c r="W24" s="234" t="s">
        <v>258</v>
      </c>
      <c r="X24" s="234" t="s">
        <v>259</v>
      </c>
      <c r="Y24" s="234" t="s">
        <v>157</v>
      </c>
      <c r="Z24" s="234" t="s">
        <v>157</v>
      </c>
      <c r="AA24" s="234" t="s">
        <v>157</v>
      </c>
      <c r="AB24" s="234" t="s">
        <v>157</v>
      </c>
      <c r="AC24" s="234" t="s">
        <v>157</v>
      </c>
      <c r="AD24" s="236"/>
    </row>
    <row r="25" spans="1:30">
      <c r="A25" s="234" t="s">
        <v>148</v>
      </c>
      <c r="B25" s="234" t="s">
        <v>149</v>
      </c>
      <c r="C25" s="234" t="s">
        <v>150</v>
      </c>
      <c r="D25" s="234" t="s">
        <v>260</v>
      </c>
      <c r="E25" s="236">
        <v>45716</v>
      </c>
      <c r="F25" s="234" t="s">
        <v>182</v>
      </c>
      <c r="G25" s="236">
        <v>45716</v>
      </c>
      <c r="H25" s="234" t="s">
        <v>153</v>
      </c>
      <c r="I25" s="234" t="s">
        <v>256</v>
      </c>
      <c r="J25" s="234" t="s">
        <v>172</v>
      </c>
      <c r="K25" s="237">
        <v>233.86</v>
      </c>
      <c r="L25" s="234" t="s">
        <v>156</v>
      </c>
      <c r="M25" s="234" t="s">
        <v>157</v>
      </c>
      <c r="N25" s="237">
        <v>233.86</v>
      </c>
      <c r="O25" s="234" t="s">
        <v>156</v>
      </c>
      <c r="P25" s="234" t="s">
        <v>257</v>
      </c>
      <c r="Q25" s="234" t="s">
        <v>162</v>
      </c>
      <c r="R25" s="234" t="s">
        <v>157</v>
      </c>
      <c r="S25" s="239">
        <v>0</v>
      </c>
      <c r="T25" s="234" t="s">
        <v>157</v>
      </c>
      <c r="U25" s="234" t="s">
        <v>256</v>
      </c>
      <c r="V25" s="234" t="s">
        <v>157</v>
      </c>
      <c r="W25" s="234" t="s">
        <v>261</v>
      </c>
      <c r="X25" s="234" t="s">
        <v>262</v>
      </c>
      <c r="Y25" s="234" t="s">
        <v>157</v>
      </c>
      <c r="Z25" s="234" t="s">
        <v>157</v>
      </c>
      <c r="AA25" s="234" t="s">
        <v>157</v>
      </c>
      <c r="AB25" s="234" t="s">
        <v>157</v>
      </c>
      <c r="AC25" s="234" t="s">
        <v>157</v>
      </c>
      <c r="AD25" s="236"/>
    </row>
    <row r="26" spans="1:30">
      <c r="A26" s="234" t="s">
        <v>148</v>
      </c>
      <c r="B26" s="234" t="s">
        <v>149</v>
      </c>
      <c r="C26" s="234" t="s">
        <v>150</v>
      </c>
      <c r="D26" s="234" t="s">
        <v>263</v>
      </c>
      <c r="E26" s="236">
        <v>45716</v>
      </c>
      <c r="F26" s="234" t="s">
        <v>182</v>
      </c>
      <c r="G26" s="236">
        <v>45716</v>
      </c>
      <c r="H26" s="234" t="s">
        <v>153</v>
      </c>
      <c r="I26" s="234" t="s">
        <v>256</v>
      </c>
      <c r="J26" s="234" t="s">
        <v>172</v>
      </c>
      <c r="K26" s="237">
        <v>2268.2399999999998</v>
      </c>
      <c r="L26" s="234" t="s">
        <v>156</v>
      </c>
      <c r="M26" s="234" t="s">
        <v>157</v>
      </c>
      <c r="N26" s="237">
        <v>2268.2399999999998</v>
      </c>
      <c r="O26" s="234" t="s">
        <v>156</v>
      </c>
      <c r="P26" s="234" t="s">
        <v>257</v>
      </c>
      <c r="Q26" s="234" t="s">
        <v>162</v>
      </c>
      <c r="R26" s="234" t="s">
        <v>157</v>
      </c>
      <c r="S26" s="239">
        <v>0</v>
      </c>
      <c r="T26" s="234" t="s">
        <v>157</v>
      </c>
      <c r="U26" s="234" t="s">
        <v>256</v>
      </c>
      <c r="V26" s="234" t="s">
        <v>157</v>
      </c>
      <c r="W26" s="234" t="s">
        <v>264</v>
      </c>
      <c r="X26" s="234" t="s">
        <v>265</v>
      </c>
      <c r="Y26" s="234" t="s">
        <v>157</v>
      </c>
      <c r="Z26" s="234" t="s">
        <v>157</v>
      </c>
      <c r="AA26" s="234" t="s">
        <v>157</v>
      </c>
      <c r="AB26" s="234" t="s">
        <v>157</v>
      </c>
      <c r="AC26" s="234" t="s">
        <v>157</v>
      </c>
      <c r="AD26" s="236"/>
    </row>
    <row r="28" spans="1:30">
      <c r="N28" s="238">
        <f>SUM(N2:N26)</f>
        <v>142670.13999999998</v>
      </c>
    </row>
  </sheetData>
  <phoneticPr fontId="6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>
      <selection activeCell="H15" sqref="H15"/>
    </sheetView>
  </sheetViews>
  <sheetFormatPr defaultColWidth="8.6640625" defaultRowHeight="14"/>
  <sheetData/>
  <phoneticPr fontId="6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21"/>
  <sheetViews>
    <sheetView topLeftCell="E1" zoomScale="80" zoomScaleNormal="80" workbookViewId="0">
      <selection activeCell="E1" sqref="A1:XFD1048576"/>
    </sheetView>
  </sheetViews>
  <sheetFormatPr defaultColWidth="8.6640625" defaultRowHeight="14"/>
  <cols>
    <col min="1" max="2" width="22" style="18" customWidth="1"/>
    <col min="3" max="3" width="25.75" style="18" customWidth="1"/>
    <col min="4" max="4" width="84.58203125" style="18" customWidth="1"/>
    <col min="5" max="5" width="43.08203125" style="18" customWidth="1"/>
    <col min="6" max="6" width="15.08203125" style="18" customWidth="1"/>
    <col min="7" max="7" width="5.25" style="18" customWidth="1"/>
    <col min="8" max="8" width="12.75" style="18" customWidth="1"/>
    <col min="9" max="9" width="9" style="18" customWidth="1"/>
    <col min="10" max="10" width="8.6640625" style="18"/>
    <col min="11" max="11" width="13" style="18" customWidth="1"/>
    <col min="12" max="12" width="15.5" style="18" customWidth="1"/>
    <col min="13" max="16384" width="8.6640625" style="18"/>
  </cols>
  <sheetData>
    <row r="1" spans="1:13" ht="14.5">
      <c r="A1" s="226"/>
      <c r="B1" s="226"/>
      <c r="C1" s="226"/>
      <c r="D1" s="226"/>
      <c r="E1" s="226"/>
      <c r="F1" s="226"/>
      <c r="G1" s="226"/>
      <c r="H1" s="226"/>
      <c r="I1" s="226"/>
    </row>
    <row r="2" spans="1:13">
      <c r="B2" s="227"/>
      <c r="F2" s="228"/>
      <c r="G2" s="229"/>
      <c r="H2" s="228"/>
    </row>
    <row r="3" spans="1:13">
      <c r="B3" s="227"/>
      <c r="F3" s="228"/>
      <c r="G3" s="229"/>
      <c r="H3" s="228"/>
      <c r="K3"/>
      <c r="L3"/>
      <c r="M3"/>
    </row>
    <row r="4" spans="1:13">
      <c r="B4" s="227"/>
      <c r="F4" s="228"/>
      <c r="G4" s="229"/>
      <c r="H4" s="228"/>
      <c r="K4" s="231"/>
      <c r="L4" s="21"/>
      <c r="M4"/>
    </row>
    <row r="5" spans="1:13">
      <c r="B5" s="227"/>
      <c r="F5" s="228"/>
      <c r="G5" s="229"/>
      <c r="H5" s="228"/>
      <c r="K5" s="231"/>
      <c r="L5" s="21"/>
      <c r="M5"/>
    </row>
    <row r="6" spans="1:13">
      <c r="F6" s="228"/>
      <c r="G6" s="230"/>
      <c r="H6" s="228"/>
      <c r="K6" s="231"/>
      <c r="L6" s="21"/>
      <c r="M6"/>
    </row>
    <row r="7" spans="1:13">
      <c r="F7" s="228"/>
      <c r="G7" s="230"/>
      <c r="H7" s="228"/>
      <c r="K7" s="231"/>
      <c r="L7" s="21"/>
      <c r="M7"/>
    </row>
    <row r="8" spans="1:13">
      <c r="F8" s="228"/>
      <c r="G8" s="230"/>
      <c r="H8" s="228"/>
      <c r="K8" s="232"/>
      <c r="L8" s="233"/>
      <c r="M8"/>
    </row>
    <row r="9" spans="1:13">
      <c r="F9" s="228"/>
      <c r="G9" s="230"/>
      <c r="H9" s="228"/>
      <c r="K9" s="231"/>
      <c r="L9" s="21"/>
      <c r="M9"/>
    </row>
    <row r="10" spans="1:13">
      <c r="F10" s="228"/>
      <c r="G10" s="230"/>
      <c r="H10" s="228"/>
      <c r="K10" s="231"/>
      <c r="L10"/>
      <c r="M10"/>
    </row>
    <row r="11" spans="1:13">
      <c r="F11" s="228"/>
      <c r="G11" s="230"/>
      <c r="H11" s="228"/>
      <c r="K11"/>
      <c r="L11"/>
      <c r="M11"/>
    </row>
    <row r="12" spans="1:13">
      <c r="F12" s="228"/>
      <c r="G12" s="230"/>
      <c r="H12" s="228"/>
      <c r="K12"/>
      <c r="L12"/>
      <c r="M12"/>
    </row>
    <row r="13" spans="1:13">
      <c r="F13" s="228"/>
      <c r="G13" s="230"/>
      <c r="H13" s="228"/>
      <c r="K13"/>
      <c r="L13"/>
      <c r="M13"/>
    </row>
    <row r="14" spans="1:13">
      <c r="F14" s="228"/>
      <c r="G14" s="230"/>
      <c r="H14" s="228"/>
      <c r="K14"/>
      <c r="L14"/>
      <c r="M14"/>
    </row>
    <row r="15" spans="1:13">
      <c r="F15" s="228"/>
      <c r="G15" s="230"/>
      <c r="H15" s="228"/>
      <c r="K15"/>
      <c r="L15"/>
      <c r="M15"/>
    </row>
    <row r="16" spans="1:13">
      <c r="F16" s="228"/>
      <c r="G16" s="230"/>
      <c r="H16" s="228"/>
      <c r="K16"/>
      <c r="L16"/>
      <c r="M16"/>
    </row>
    <row r="17" spans="2:13">
      <c r="B17" s="227"/>
      <c r="F17" s="228"/>
      <c r="G17" s="225"/>
      <c r="H17" s="228"/>
      <c r="K17"/>
      <c r="L17"/>
      <c r="M17"/>
    </row>
    <row r="18" spans="2:13">
      <c r="F18" s="228"/>
      <c r="G18" s="225"/>
      <c r="H18" s="228"/>
      <c r="K18"/>
      <c r="L18"/>
      <c r="M18"/>
    </row>
    <row r="19" spans="2:13">
      <c r="F19" s="25"/>
      <c r="G19" s="225"/>
      <c r="H19" s="228"/>
      <c r="K19"/>
      <c r="L19"/>
      <c r="M19"/>
    </row>
    <row r="20" spans="2:13">
      <c r="F20" s="25"/>
      <c r="G20" s="225"/>
      <c r="H20" s="228"/>
      <c r="K20"/>
      <c r="L20"/>
      <c r="M20"/>
    </row>
    <row r="21" spans="2:13">
      <c r="F21" s="25"/>
      <c r="G21" s="225"/>
      <c r="H21" s="228"/>
    </row>
  </sheetData>
  <phoneticPr fontId="6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 tint="0.59999389629810485"/>
    <pageSetUpPr fitToPage="1"/>
  </sheetPr>
  <dimension ref="A1:OD49"/>
  <sheetViews>
    <sheetView topLeftCell="A23" zoomScale="60" zoomScaleNormal="60" workbookViewId="0">
      <selection activeCell="J55" sqref="J55"/>
    </sheetView>
  </sheetViews>
  <sheetFormatPr defaultColWidth="9" defaultRowHeight="14"/>
  <cols>
    <col min="1" max="1" width="3.75" style="60" customWidth="1"/>
    <col min="2" max="2" width="21.08203125" style="60" customWidth="1"/>
    <col min="3" max="3" width="32" customWidth="1"/>
    <col min="4" max="4" width="23.33203125" customWidth="1"/>
    <col min="5" max="5" width="18.75" customWidth="1"/>
    <col min="6" max="6" width="14.75" style="60" customWidth="1"/>
    <col min="7" max="7" width="12.08203125" customWidth="1"/>
    <col min="8" max="8" width="19.33203125" style="48" customWidth="1"/>
    <col min="9" max="9" width="20.75" style="48" customWidth="1"/>
    <col min="10" max="10" width="19.08203125" style="48" customWidth="1"/>
    <col min="11" max="11" width="17.33203125" style="48" customWidth="1"/>
    <col min="12" max="12" width="46.25" customWidth="1"/>
    <col min="13" max="13" width="12.33203125" style="61" customWidth="1"/>
    <col min="14" max="14" width="45.75" customWidth="1"/>
    <col min="15" max="394" width="8.58203125"/>
  </cols>
  <sheetData>
    <row r="1" spans="1:13" ht="60" customHeight="1">
      <c r="A1" s="270" t="s">
        <v>266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</row>
    <row r="2" spans="1:13" s="18" customFormat="1" ht="26.25" customHeight="1">
      <c r="A2" s="62"/>
      <c r="B2" s="63"/>
      <c r="C2" s="63"/>
      <c r="D2" s="63"/>
      <c r="E2" s="63"/>
      <c r="F2" s="63"/>
      <c r="G2" s="63"/>
      <c r="H2" s="272">
        <v>45689</v>
      </c>
      <c r="I2" s="273"/>
      <c r="J2" s="273"/>
      <c r="K2" s="273"/>
      <c r="L2" s="273"/>
      <c r="M2" s="274"/>
    </row>
    <row r="3" spans="1:13" s="18" customFormat="1" ht="31.5" customHeight="1">
      <c r="A3" s="64" t="s">
        <v>267</v>
      </c>
      <c r="B3" s="65" t="s">
        <v>268</v>
      </c>
      <c r="C3" s="65" t="s">
        <v>269</v>
      </c>
      <c r="D3" s="66" t="s">
        <v>270</v>
      </c>
      <c r="E3" s="67" t="s">
        <v>271</v>
      </c>
      <c r="F3" s="65" t="s">
        <v>272</v>
      </c>
      <c r="G3" s="65" t="s">
        <v>273</v>
      </c>
      <c r="H3" s="65" t="s">
        <v>274</v>
      </c>
      <c r="I3" s="172" t="s">
        <v>275</v>
      </c>
      <c r="J3" s="172" t="s">
        <v>276</v>
      </c>
      <c r="K3" s="172" t="s">
        <v>277</v>
      </c>
      <c r="L3" s="173" t="s">
        <v>278</v>
      </c>
      <c r="M3" s="174" t="s">
        <v>279</v>
      </c>
    </row>
    <row r="4" spans="1:13" s="18" customFormat="1" ht="33" customHeight="1">
      <c r="A4" s="277"/>
      <c r="B4" s="288" t="s">
        <v>280</v>
      </c>
      <c r="C4" s="68" t="s">
        <v>281</v>
      </c>
      <c r="D4" s="69" t="s">
        <v>282</v>
      </c>
      <c r="E4" s="70">
        <v>0</v>
      </c>
      <c r="F4" s="71">
        <v>1</v>
      </c>
      <c r="G4" s="72">
        <v>2.9999999999999997E-4</v>
      </c>
      <c r="H4" s="70">
        <f>ROUND(E4*F4*G4,2)</f>
        <v>0</v>
      </c>
      <c r="I4" s="88">
        <f>'02月PL'!D6</f>
        <v>18613556.690000001</v>
      </c>
      <c r="J4" s="74">
        <f>'02月PL'!D37</f>
        <v>15885356.75</v>
      </c>
      <c r="K4" s="74">
        <f>'02月PL'!D69</f>
        <v>0</v>
      </c>
      <c r="L4" s="175"/>
      <c r="M4" s="176" t="s">
        <v>283</v>
      </c>
    </row>
    <row r="5" spans="1:13" s="18" customFormat="1" ht="14.5">
      <c r="A5" s="278"/>
      <c r="B5" s="289"/>
      <c r="C5" s="73" t="s">
        <v>284</v>
      </c>
      <c r="D5" s="299" t="s">
        <v>285</v>
      </c>
      <c r="E5" s="74"/>
      <c r="F5" s="75">
        <v>1</v>
      </c>
      <c r="G5" s="72">
        <v>5.0000000000000002E-5</v>
      </c>
      <c r="H5" s="70">
        <f t="shared" ref="H5:H16" si="0">ROUND(E5*F5*G5,2)</f>
        <v>0</v>
      </c>
      <c r="I5" s="177"/>
      <c r="J5" s="74"/>
      <c r="K5" s="74"/>
      <c r="L5" s="175"/>
      <c r="M5" s="176" t="s">
        <v>286</v>
      </c>
    </row>
    <row r="6" spans="1:13" s="18" customFormat="1" ht="14.5">
      <c r="A6" s="278"/>
      <c r="B6" s="289"/>
      <c r="C6" s="73" t="s">
        <v>287</v>
      </c>
      <c r="D6" s="300"/>
      <c r="E6" s="74"/>
      <c r="F6" s="75">
        <v>1</v>
      </c>
      <c r="G6" s="72">
        <v>5.0000000000000002E-5</v>
      </c>
      <c r="H6" s="70">
        <f t="shared" si="0"/>
        <v>0</v>
      </c>
      <c r="I6" s="177"/>
      <c r="J6" s="74"/>
      <c r="K6" s="74"/>
      <c r="L6" s="175"/>
      <c r="M6" s="176" t="s">
        <v>286</v>
      </c>
    </row>
    <row r="7" spans="1:13" s="18" customFormat="1" ht="14.5">
      <c r="A7" s="278"/>
      <c r="B7" s="289"/>
      <c r="C7" s="73" t="s">
        <v>288</v>
      </c>
      <c r="D7" s="300"/>
      <c r="E7" s="74">
        <v>0</v>
      </c>
      <c r="F7" s="75">
        <v>1</v>
      </c>
      <c r="G7" s="72">
        <v>2.9999999999999997E-4</v>
      </c>
      <c r="H7" s="70">
        <f t="shared" si="0"/>
        <v>0</v>
      </c>
      <c r="I7" s="177"/>
      <c r="J7" s="74"/>
      <c r="K7" s="74"/>
      <c r="L7" s="175"/>
      <c r="M7" s="176" t="s">
        <v>286</v>
      </c>
    </row>
    <row r="8" spans="1:13" s="18" customFormat="1" ht="14.5">
      <c r="A8" s="278"/>
      <c r="B8" s="289"/>
      <c r="C8" s="73" t="s">
        <v>289</v>
      </c>
      <c r="D8" s="300"/>
      <c r="E8" s="74">
        <v>0</v>
      </c>
      <c r="F8" s="75">
        <v>1</v>
      </c>
      <c r="G8" s="72">
        <v>2.9999999999999997E-4</v>
      </c>
      <c r="H8" s="70">
        <f t="shared" si="0"/>
        <v>0</v>
      </c>
      <c r="I8" s="177"/>
      <c r="J8" s="74"/>
      <c r="K8" s="74"/>
      <c r="L8" s="175"/>
      <c r="M8" s="176" t="s">
        <v>286</v>
      </c>
    </row>
    <row r="9" spans="1:13" s="18" customFormat="1" ht="14.5">
      <c r="A9" s="278"/>
      <c r="B9" s="289"/>
      <c r="C9" s="73" t="s">
        <v>290</v>
      </c>
      <c r="D9" s="300"/>
      <c r="E9" s="74"/>
      <c r="F9" s="75">
        <v>1</v>
      </c>
      <c r="G9" s="72">
        <v>2.9999999999999997E-4</v>
      </c>
      <c r="H9" s="70">
        <f t="shared" si="0"/>
        <v>0</v>
      </c>
      <c r="I9" s="177"/>
      <c r="J9" s="74"/>
      <c r="K9" s="74"/>
      <c r="L9" s="175"/>
      <c r="M9" s="176" t="s">
        <v>286</v>
      </c>
    </row>
    <row r="10" spans="1:13" s="18" customFormat="1" ht="14.5">
      <c r="A10" s="278"/>
      <c r="B10" s="289"/>
      <c r="C10" s="73" t="s">
        <v>291</v>
      </c>
      <c r="D10" s="300"/>
      <c r="E10" s="74">
        <v>0</v>
      </c>
      <c r="F10" s="75">
        <v>1</v>
      </c>
      <c r="G10" s="72">
        <v>2.9999999999999997E-4</v>
      </c>
      <c r="H10" s="70">
        <f t="shared" si="0"/>
        <v>0</v>
      </c>
      <c r="I10" s="177"/>
      <c r="J10" s="74"/>
      <c r="K10" s="74"/>
      <c r="L10" s="175"/>
      <c r="M10" s="176" t="s">
        <v>286</v>
      </c>
    </row>
    <row r="11" spans="1:13" s="18" customFormat="1" ht="14.5">
      <c r="A11" s="278"/>
      <c r="B11" s="289"/>
      <c r="C11" s="73" t="s">
        <v>292</v>
      </c>
      <c r="D11" s="300"/>
      <c r="E11" s="74">
        <v>0</v>
      </c>
      <c r="F11" s="75">
        <v>1</v>
      </c>
      <c r="G11" s="72">
        <v>1E-3</v>
      </c>
      <c r="H11" s="70">
        <f t="shared" si="0"/>
        <v>0</v>
      </c>
      <c r="I11" s="177"/>
      <c r="J11" s="74"/>
      <c r="K11" s="74"/>
      <c r="L11" s="175"/>
      <c r="M11" s="176" t="s">
        <v>286</v>
      </c>
    </row>
    <row r="12" spans="1:13" s="18" customFormat="1" ht="14.5">
      <c r="A12" s="278"/>
      <c r="B12" s="289"/>
      <c r="C12" s="76" t="s">
        <v>293</v>
      </c>
      <c r="D12" s="300"/>
      <c r="E12" s="74"/>
      <c r="F12" s="75">
        <v>1</v>
      </c>
      <c r="G12" s="72">
        <v>1E-3</v>
      </c>
      <c r="H12" s="70">
        <f t="shared" si="0"/>
        <v>0</v>
      </c>
      <c r="I12" s="177"/>
      <c r="J12" s="74"/>
      <c r="K12" s="74"/>
      <c r="L12" s="175"/>
      <c r="M12" s="176" t="s">
        <v>286</v>
      </c>
    </row>
    <row r="13" spans="1:13" s="18" customFormat="1" ht="14.5">
      <c r="A13" s="278"/>
      <c r="B13" s="289"/>
      <c r="C13" s="76" t="s">
        <v>294</v>
      </c>
      <c r="D13" s="300"/>
      <c r="E13" s="74"/>
      <c r="F13" s="75">
        <v>1</v>
      </c>
      <c r="G13" s="72">
        <v>1E-3</v>
      </c>
      <c r="H13" s="70">
        <f t="shared" si="0"/>
        <v>0</v>
      </c>
      <c r="I13" s="177"/>
      <c r="J13" s="74"/>
      <c r="K13" s="74"/>
      <c r="L13" s="175"/>
      <c r="M13" s="176" t="s">
        <v>286</v>
      </c>
    </row>
    <row r="14" spans="1:13" s="18" customFormat="1" ht="14.5">
      <c r="A14" s="278"/>
      <c r="B14" s="289"/>
      <c r="C14" s="76" t="s">
        <v>295</v>
      </c>
      <c r="D14" s="300"/>
      <c r="E14" s="74"/>
      <c r="F14" s="75">
        <v>1</v>
      </c>
      <c r="G14" s="72">
        <v>1E-3</v>
      </c>
      <c r="H14" s="70">
        <f t="shared" si="0"/>
        <v>0</v>
      </c>
      <c r="I14" s="177"/>
      <c r="J14" s="74"/>
      <c r="K14" s="74"/>
      <c r="L14" s="175"/>
      <c r="M14" s="176" t="s">
        <v>286</v>
      </c>
    </row>
    <row r="15" spans="1:13" s="18" customFormat="1" ht="14.5">
      <c r="A15" s="278"/>
      <c r="B15" s="289"/>
      <c r="C15" s="73" t="s">
        <v>296</v>
      </c>
      <c r="D15" s="301"/>
      <c r="E15" s="74"/>
      <c r="F15" s="75">
        <v>1</v>
      </c>
      <c r="G15" s="72">
        <v>2.5000000000000001E-4</v>
      </c>
      <c r="H15" s="70">
        <f t="shared" si="0"/>
        <v>0</v>
      </c>
      <c r="I15" s="177"/>
      <c r="J15" s="74"/>
      <c r="K15" s="74"/>
      <c r="L15" s="175"/>
      <c r="M15" s="176" t="s">
        <v>286</v>
      </c>
    </row>
    <row r="16" spans="1:13" s="18" customFormat="1" ht="14.5">
      <c r="A16" s="278"/>
      <c r="B16" s="289"/>
      <c r="C16" s="76" t="s">
        <v>297</v>
      </c>
      <c r="D16" s="301"/>
      <c r="E16" s="74"/>
      <c r="F16" s="75">
        <v>1</v>
      </c>
      <c r="G16" s="72">
        <v>5.0000000000000001E-4</v>
      </c>
      <c r="H16" s="70">
        <f t="shared" si="0"/>
        <v>0</v>
      </c>
      <c r="I16" s="177"/>
      <c r="J16" s="74"/>
      <c r="K16" s="74"/>
      <c r="L16" s="175"/>
      <c r="M16" s="176"/>
    </row>
    <row r="17" spans="1:394" s="50" customFormat="1" ht="36" customHeight="1">
      <c r="A17" s="77">
        <v>1</v>
      </c>
      <c r="B17" s="78" t="s">
        <v>298</v>
      </c>
      <c r="C17" s="78"/>
      <c r="D17" s="79"/>
      <c r="E17" s="80">
        <f>SUM(E4:E16)</f>
        <v>0</v>
      </c>
      <c r="F17" s="78"/>
      <c r="G17" s="81"/>
      <c r="H17" s="80">
        <f>SUM(H4:H16)</f>
        <v>0</v>
      </c>
      <c r="I17" s="178" t="s">
        <v>299</v>
      </c>
      <c r="J17" s="80"/>
      <c r="K17" s="80">
        <f>H17-J17</f>
        <v>0</v>
      </c>
      <c r="L17" s="179"/>
      <c r="M17" s="180"/>
      <c r="N17" s="50" t="s">
        <v>300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  <c r="JN17" s="18"/>
      <c r="JO17" s="18"/>
      <c r="JP17" s="18"/>
      <c r="JQ17" s="18"/>
      <c r="JR17" s="18"/>
      <c r="JS17" s="18"/>
      <c r="JT17" s="18"/>
      <c r="JU17" s="18"/>
      <c r="JV17" s="18"/>
      <c r="JW17" s="18"/>
      <c r="JX17" s="18"/>
      <c r="JY17" s="18"/>
      <c r="JZ17" s="18"/>
      <c r="KA17" s="18"/>
      <c r="KB17" s="18"/>
      <c r="KC17" s="18"/>
      <c r="KD17" s="18"/>
      <c r="KE17" s="18"/>
      <c r="KF17" s="18"/>
      <c r="KG17" s="18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18"/>
      <c r="KS17" s="18"/>
      <c r="KT17" s="18"/>
      <c r="KU17" s="18"/>
      <c r="KV17" s="18"/>
      <c r="KW17" s="18"/>
      <c r="KX17" s="18"/>
      <c r="KY17" s="18"/>
      <c r="KZ17" s="18"/>
      <c r="LA17" s="18"/>
      <c r="LB17" s="18"/>
      <c r="LC17" s="18"/>
      <c r="LD17" s="18"/>
      <c r="LE17" s="18"/>
      <c r="LF17" s="18"/>
      <c r="LG17" s="18"/>
      <c r="LH17" s="18"/>
      <c r="LI17" s="18"/>
      <c r="LJ17" s="18"/>
      <c r="LK17" s="18"/>
      <c r="LL17" s="18"/>
      <c r="LM17" s="18"/>
      <c r="LN17" s="18"/>
      <c r="LO17" s="18"/>
      <c r="LP17" s="18"/>
      <c r="LQ17" s="18"/>
      <c r="LR17" s="18"/>
      <c r="LS17" s="18"/>
      <c r="LT17" s="18"/>
      <c r="LU17" s="18"/>
      <c r="LV17" s="18"/>
      <c r="LW17" s="18"/>
      <c r="LX17" s="18"/>
      <c r="LY17" s="18"/>
      <c r="LZ17" s="18"/>
      <c r="MA17" s="18"/>
      <c r="MB17" s="18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18"/>
      <c r="MN17" s="18"/>
      <c r="MO17" s="18"/>
      <c r="MP17" s="18"/>
      <c r="MQ17" s="18"/>
      <c r="MR17" s="18"/>
      <c r="MS17" s="18"/>
      <c r="MT17" s="18"/>
      <c r="MU17" s="18"/>
      <c r="MV17" s="18"/>
      <c r="MW17" s="18"/>
      <c r="MX17" s="18"/>
      <c r="MY17" s="18"/>
      <c r="MZ17" s="18"/>
      <c r="NA17" s="18"/>
      <c r="NB17" s="18"/>
      <c r="NC17" s="18"/>
      <c r="ND17" s="18"/>
      <c r="NE17" s="18"/>
      <c r="NF17" s="18"/>
      <c r="NG17" s="18"/>
      <c r="NH17" s="18"/>
      <c r="NI17" s="18"/>
      <c r="NJ17" s="18"/>
      <c r="NK17" s="18"/>
      <c r="NL17" s="18"/>
      <c r="NM17" s="18"/>
      <c r="NN17" s="18"/>
      <c r="NO17" s="18"/>
      <c r="NP17" s="18"/>
      <c r="NQ17" s="18"/>
      <c r="NR17" s="18"/>
      <c r="NS17" s="18"/>
      <c r="NT17" s="18"/>
      <c r="NU17" s="18"/>
      <c r="NV17" s="18"/>
      <c r="NW17" s="18"/>
      <c r="NX17" s="18"/>
      <c r="NY17" s="18"/>
      <c r="NZ17" s="18"/>
      <c r="OA17" s="18"/>
      <c r="OB17" s="18"/>
      <c r="OC17" s="18"/>
      <c r="OD17" s="18"/>
    </row>
    <row r="18" spans="1:394" s="50" customFormat="1" ht="36" customHeight="1">
      <c r="A18" s="64" t="s">
        <v>301</v>
      </c>
      <c r="B18" s="65" t="s">
        <v>302</v>
      </c>
      <c r="C18" s="65" t="s">
        <v>303</v>
      </c>
      <c r="D18" s="66" t="s">
        <v>304</v>
      </c>
      <c r="E18" s="67" t="s">
        <v>305</v>
      </c>
      <c r="F18" s="65" t="s">
        <v>306</v>
      </c>
      <c r="G18" s="65" t="s">
        <v>307</v>
      </c>
      <c r="H18" s="65" t="s">
        <v>308</v>
      </c>
      <c r="I18" s="172" t="s">
        <v>309</v>
      </c>
      <c r="J18" s="172" t="s">
        <v>310</v>
      </c>
      <c r="K18" s="172" t="s">
        <v>311</v>
      </c>
      <c r="L18" s="173" t="s">
        <v>312</v>
      </c>
      <c r="M18" s="17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  <c r="MN18" s="18"/>
      <c r="MO18" s="18"/>
      <c r="MP18" s="18"/>
      <c r="MQ18" s="18"/>
      <c r="MR18" s="18"/>
      <c r="MS18" s="18"/>
      <c r="MT18" s="18"/>
      <c r="MU18" s="18"/>
      <c r="MV18" s="18"/>
      <c r="MW18" s="18"/>
      <c r="MX18" s="18"/>
      <c r="MY18" s="18"/>
      <c r="MZ18" s="18"/>
      <c r="NA18" s="18"/>
      <c r="NB18" s="18"/>
      <c r="NC18" s="18"/>
      <c r="ND18" s="18"/>
      <c r="NE18" s="18"/>
      <c r="NF18" s="18"/>
      <c r="NG18" s="18"/>
      <c r="NH18" s="18"/>
      <c r="NI18" s="18"/>
      <c r="NJ18" s="18"/>
      <c r="NK18" s="18"/>
      <c r="NL18" s="18"/>
      <c r="NM18" s="18"/>
      <c r="NN18" s="18"/>
      <c r="NO18" s="18"/>
      <c r="NP18" s="1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18"/>
      <c r="OD18" s="18"/>
    </row>
    <row r="19" spans="1:394" s="18" customFormat="1" ht="32" customHeight="1">
      <c r="A19" s="279"/>
      <c r="B19" s="290" t="s">
        <v>313</v>
      </c>
      <c r="C19" s="82" t="s">
        <v>314</v>
      </c>
      <c r="D19" s="83" t="s">
        <v>94</v>
      </c>
      <c r="E19" s="84">
        <f>'02月PL'!D36</f>
        <v>15885356.75</v>
      </c>
      <c r="F19" s="85">
        <v>1</v>
      </c>
      <c r="G19" s="85">
        <v>0.13</v>
      </c>
      <c r="H19" s="86">
        <f>ROUND(E19*G19,2)</f>
        <v>2065096.38</v>
      </c>
      <c r="I19" s="181" t="s">
        <v>155</v>
      </c>
      <c r="J19" s="86">
        <f>-销项明细!N10</f>
        <v>2065096.3800000001</v>
      </c>
      <c r="K19" s="86">
        <f>H19-J19</f>
        <v>0</v>
      </c>
      <c r="L19" s="182" t="s">
        <v>315</v>
      </c>
      <c r="M19" s="183" t="s">
        <v>283</v>
      </c>
    </row>
    <row r="20" spans="1:394" s="18" customFormat="1" ht="20" customHeight="1">
      <c r="A20" s="280"/>
      <c r="B20" s="291"/>
      <c r="C20" s="83" t="s">
        <v>316</v>
      </c>
      <c r="D20" s="83" t="s">
        <v>317</v>
      </c>
      <c r="E20" s="84">
        <f>'Ref 4_202502 增值税变动表'!F4</f>
        <v>0</v>
      </c>
      <c r="F20" s="85">
        <v>1</v>
      </c>
      <c r="G20" s="85">
        <v>0.09</v>
      </c>
      <c r="H20" s="86">
        <f>E20*G20</f>
        <v>0</v>
      </c>
      <c r="I20" s="184"/>
      <c r="J20" s="86"/>
      <c r="K20" s="86"/>
      <c r="L20" s="185"/>
      <c r="M20" s="186"/>
    </row>
    <row r="21" spans="1:394" s="18" customFormat="1" ht="20" customHeight="1">
      <c r="A21" s="280"/>
      <c r="B21" s="291"/>
      <c r="C21" s="83" t="s">
        <v>318</v>
      </c>
      <c r="D21" s="83" t="s">
        <v>319</v>
      </c>
      <c r="E21" s="84">
        <f>'Ref 4_202502 增值税变动表'!F5</f>
        <v>0</v>
      </c>
      <c r="F21" s="85">
        <v>1</v>
      </c>
      <c r="G21" s="85">
        <v>0.06</v>
      </c>
      <c r="H21" s="86">
        <f t="shared" ref="H21:H22" si="1">E21*G21</f>
        <v>0</v>
      </c>
      <c r="I21" s="184"/>
      <c r="J21" s="86"/>
      <c r="K21" s="86"/>
      <c r="L21" s="185"/>
      <c r="M21" s="186"/>
    </row>
    <row r="22" spans="1:394" s="18" customFormat="1" ht="20" customHeight="1">
      <c r="A22" s="280"/>
      <c r="B22" s="291"/>
      <c r="C22" s="83" t="s">
        <v>320</v>
      </c>
      <c r="D22" s="83" t="s">
        <v>321</v>
      </c>
      <c r="E22" s="84">
        <f>'Ref 4_202502 增值税变动表'!F6</f>
        <v>0</v>
      </c>
      <c r="F22" s="85">
        <v>1</v>
      </c>
      <c r="G22" s="85">
        <v>0.06</v>
      </c>
      <c r="H22" s="86">
        <f t="shared" si="1"/>
        <v>0</v>
      </c>
      <c r="I22" s="184"/>
      <c r="J22" s="86"/>
      <c r="K22" s="86"/>
      <c r="L22" s="185"/>
      <c r="M22" s="186"/>
    </row>
    <row r="23" spans="1:394" s="18" customFormat="1" ht="22" customHeight="1">
      <c r="A23" s="280"/>
      <c r="B23" s="291"/>
      <c r="C23" s="87" t="s">
        <v>322</v>
      </c>
      <c r="D23" s="88" t="s">
        <v>323</v>
      </c>
      <c r="E23" s="70">
        <f>'Ref 3_202502 增值税进项认证清单'!K22</f>
        <v>1979092.2</v>
      </c>
      <c r="F23" s="71">
        <v>1</v>
      </c>
      <c r="G23" s="89" t="s">
        <v>324</v>
      </c>
      <c r="H23" s="90">
        <f>'Ref 3_202502 增值税进项认证清单'!L22</f>
        <v>142670.14000000001</v>
      </c>
      <c r="I23" s="187" t="s">
        <v>172</v>
      </c>
      <c r="J23" s="70">
        <f>进项明细!N28</f>
        <v>142670.13999999998</v>
      </c>
      <c r="K23" s="70">
        <f>H23-J23</f>
        <v>0</v>
      </c>
      <c r="L23" s="188"/>
      <c r="M23" s="183" t="s">
        <v>325</v>
      </c>
      <c r="N23" s="268" t="s">
        <v>534</v>
      </c>
      <c r="R23" s="225">
        <v>0.09</v>
      </c>
    </row>
    <row r="24" spans="1:394" s="18" customFormat="1" ht="22" customHeight="1">
      <c r="A24" s="280"/>
      <c r="B24" s="291"/>
      <c r="C24" s="91" t="s">
        <v>326</v>
      </c>
      <c r="D24" s="88" t="s">
        <v>327</v>
      </c>
      <c r="E24" s="70"/>
      <c r="F24" s="71">
        <v>1</v>
      </c>
      <c r="G24" s="89"/>
      <c r="H24" s="90">
        <f>'Ref 4_202502 增值税变动表'!F15+'Ref 4_202502 增值税变动表'!F16</f>
        <v>192482785.34</v>
      </c>
      <c r="I24" s="187"/>
      <c r="J24" s="70"/>
      <c r="K24" s="70"/>
      <c r="L24" s="189"/>
      <c r="M24" s="183" t="s">
        <v>328</v>
      </c>
      <c r="R24" s="225"/>
    </row>
    <row r="25" spans="1:394" ht="51" customHeight="1">
      <c r="A25" s="281"/>
      <c r="B25" s="292"/>
      <c r="C25" s="87" t="s">
        <v>329</v>
      </c>
      <c r="D25" s="88" t="s">
        <v>327</v>
      </c>
      <c r="E25" s="70"/>
      <c r="F25" s="71">
        <v>1</v>
      </c>
      <c r="G25" s="89" t="s">
        <v>324</v>
      </c>
      <c r="H25" s="90">
        <f>'Ref 4_202502 增值税变动表'!F17+'Ref 4_202502 增值税变动表'!F18</f>
        <v>190560359.09999999</v>
      </c>
      <c r="I25" s="190"/>
      <c r="J25" s="90">
        <f>-'02月BS'!I58</f>
        <v>190560359.09999999</v>
      </c>
      <c r="K25" s="90">
        <f>H25-J25</f>
        <v>0</v>
      </c>
      <c r="L25" s="191"/>
      <c r="M25" s="183" t="s">
        <v>328</v>
      </c>
      <c r="N25" s="192"/>
    </row>
    <row r="26" spans="1:394" s="59" customFormat="1" ht="30.75" customHeight="1">
      <c r="A26" s="92">
        <v>2</v>
      </c>
      <c r="B26" s="93" t="s">
        <v>330</v>
      </c>
      <c r="C26" s="93"/>
      <c r="D26" s="94"/>
      <c r="E26" s="95"/>
      <c r="F26" s="93"/>
      <c r="G26" s="96"/>
      <c r="H26" s="95">
        <v>0</v>
      </c>
      <c r="I26" s="193" t="s">
        <v>331</v>
      </c>
      <c r="J26" s="95"/>
      <c r="K26" s="95"/>
      <c r="L26" s="194"/>
      <c r="M26" s="195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  <c r="AX26" s="196"/>
      <c r="AY26" s="196"/>
      <c r="AZ26" s="196"/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  <c r="BX26" s="196"/>
      <c r="BY26" s="196"/>
      <c r="BZ26" s="196"/>
      <c r="CA26" s="196"/>
      <c r="CB26" s="196"/>
      <c r="CC26" s="196"/>
      <c r="CD26" s="196"/>
      <c r="CE26" s="196"/>
      <c r="CF26" s="196"/>
      <c r="CG26" s="196"/>
      <c r="CH26" s="196"/>
      <c r="CI26" s="196"/>
      <c r="CJ26" s="196"/>
      <c r="CK26" s="196"/>
      <c r="CL26" s="196"/>
      <c r="CM26" s="196"/>
      <c r="CN26" s="196"/>
      <c r="CO26" s="196"/>
      <c r="CP26" s="196"/>
      <c r="CQ26" s="196"/>
      <c r="CR26" s="196"/>
      <c r="CS26" s="196"/>
      <c r="CT26" s="196"/>
      <c r="CU26" s="196"/>
      <c r="CV26" s="196"/>
      <c r="CW26" s="196"/>
      <c r="CX26" s="196"/>
      <c r="CY26" s="196"/>
      <c r="CZ26" s="196"/>
      <c r="DA26" s="196"/>
      <c r="DB26" s="196"/>
      <c r="DC26" s="196"/>
      <c r="DD26" s="196"/>
      <c r="DE26" s="196"/>
      <c r="DF26" s="196"/>
      <c r="DG26" s="196"/>
      <c r="DH26" s="196"/>
      <c r="DI26" s="196"/>
      <c r="DJ26" s="196"/>
      <c r="DK26" s="196"/>
      <c r="DL26" s="196"/>
      <c r="DM26" s="196"/>
      <c r="DN26" s="196"/>
      <c r="DO26" s="196"/>
      <c r="DP26" s="196"/>
      <c r="DQ26" s="196"/>
      <c r="DR26" s="196"/>
      <c r="DS26" s="196"/>
      <c r="DT26" s="196"/>
      <c r="DU26" s="196"/>
      <c r="DV26" s="196"/>
      <c r="DW26" s="196"/>
      <c r="DX26" s="196"/>
      <c r="DY26" s="196"/>
      <c r="DZ26" s="196"/>
      <c r="EA26" s="196"/>
      <c r="EB26" s="196"/>
      <c r="EC26" s="196"/>
      <c r="ED26" s="196"/>
      <c r="EE26" s="196"/>
      <c r="EF26" s="196"/>
      <c r="EG26" s="196"/>
      <c r="EH26" s="196"/>
      <c r="EI26" s="196"/>
      <c r="EJ26" s="196"/>
      <c r="EK26" s="196"/>
      <c r="EL26" s="196"/>
      <c r="EM26" s="196"/>
      <c r="EN26" s="196"/>
      <c r="EO26" s="196"/>
      <c r="EP26" s="196"/>
      <c r="EQ26" s="196"/>
      <c r="ER26" s="196"/>
      <c r="ES26" s="196"/>
      <c r="ET26" s="196"/>
      <c r="EU26" s="196"/>
      <c r="EV26" s="196"/>
      <c r="EW26" s="196"/>
      <c r="EX26" s="196"/>
      <c r="EY26" s="196"/>
      <c r="EZ26" s="196"/>
      <c r="FA26" s="196"/>
      <c r="FB26" s="196"/>
      <c r="FC26" s="196"/>
      <c r="FD26" s="196"/>
      <c r="FE26" s="196"/>
      <c r="FF26" s="196"/>
      <c r="FG26" s="196"/>
      <c r="FH26" s="196"/>
      <c r="FI26" s="196"/>
      <c r="FJ26" s="196"/>
      <c r="FK26" s="196"/>
      <c r="FL26" s="196"/>
      <c r="FM26" s="196"/>
      <c r="FN26" s="196"/>
      <c r="FO26" s="196"/>
      <c r="FP26" s="196"/>
      <c r="FQ26" s="196"/>
      <c r="FR26" s="196"/>
      <c r="FS26" s="196"/>
      <c r="FT26" s="196"/>
      <c r="FU26" s="196"/>
      <c r="FV26" s="196"/>
      <c r="FW26" s="196"/>
      <c r="FX26" s="196"/>
      <c r="FY26" s="196"/>
      <c r="FZ26" s="196"/>
      <c r="GA26" s="196"/>
      <c r="GB26" s="196"/>
      <c r="GC26" s="196"/>
      <c r="GD26" s="196"/>
      <c r="GE26" s="196"/>
      <c r="GF26" s="196"/>
      <c r="GG26" s="196"/>
      <c r="GH26" s="196"/>
      <c r="GI26" s="196"/>
      <c r="GJ26" s="196"/>
      <c r="GK26" s="196"/>
      <c r="GL26" s="196"/>
      <c r="GM26" s="196"/>
      <c r="GN26" s="196"/>
      <c r="GO26" s="196"/>
      <c r="GP26" s="196"/>
      <c r="GQ26" s="196"/>
      <c r="GR26" s="196"/>
      <c r="GS26" s="196"/>
      <c r="GT26" s="196"/>
      <c r="GU26" s="196"/>
      <c r="GV26" s="196"/>
      <c r="GW26" s="196"/>
      <c r="GX26" s="196"/>
      <c r="GY26" s="196"/>
      <c r="GZ26" s="196"/>
      <c r="HA26" s="196"/>
      <c r="HB26" s="196"/>
      <c r="HC26" s="196"/>
      <c r="HD26" s="196"/>
      <c r="HE26" s="196"/>
      <c r="HF26" s="196"/>
      <c r="HG26" s="196"/>
      <c r="HH26" s="196"/>
      <c r="HI26" s="196"/>
      <c r="HJ26" s="196"/>
      <c r="HK26" s="196"/>
      <c r="HL26" s="196"/>
      <c r="HM26" s="196"/>
      <c r="HN26" s="196"/>
      <c r="HO26" s="196"/>
      <c r="HP26" s="196"/>
      <c r="HQ26" s="196"/>
      <c r="HR26" s="196"/>
      <c r="HS26" s="196"/>
      <c r="HT26" s="196"/>
      <c r="HU26" s="196"/>
      <c r="HV26" s="196"/>
      <c r="HW26" s="196"/>
      <c r="HX26" s="196"/>
      <c r="HY26" s="196"/>
      <c r="HZ26" s="196"/>
      <c r="IA26" s="196"/>
      <c r="IB26" s="196"/>
      <c r="IC26" s="196"/>
      <c r="ID26" s="196"/>
      <c r="IE26" s="196"/>
      <c r="IF26" s="196"/>
      <c r="IG26" s="196"/>
      <c r="IH26" s="196"/>
      <c r="II26" s="196"/>
      <c r="IJ26" s="196"/>
      <c r="IK26" s="196"/>
      <c r="IL26" s="196"/>
      <c r="IM26" s="196"/>
      <c r="IN26" s="196"/>
      <c r="IO26" s="196"/>
      <c r="IP26" s="196"/>
      <c r="IQ26" s="196"/>
      <c r="IR26" s="196"/>
      <c r="IS26" s="196"/>
      <c r="IT26" s="196"/>
      <c r="IU26" s="196"/>
      <c r="IV26" s="196"/>
      <c r="IW26" s="196"/>
      <c r="IX26" s="196"/>
      <c r="IY26" s="196"/>
      <c r="IZ26" s="196"/>
      <c r="JA26" s="196"/>
      <c r="JB26" s="196"/>
      <c r="JC26" s="196"/>
      <c r="JD26" s="196"/>
      <c r="JE26" s="196"/>
      <c r="JF26" s="196"/>
      <c r="JG26" s="196"/>
      <c r="JH26" s="196"/>
      <c r="JI26" s="196"/>
      <c r="JJ26" s="196"/>
      <c r="JK26" s="196"/>
      <c r="JL26" s="196"/>
      <c r="JM26" s="196"/>
      <c r="JN26" s="196"/>
      <c r="JO26" s="196"/>
      <c r="JP26" s="196"/>
      <c r="JQ26" s="196"/>
      <c r="JR26" s="196"/>
      <c r="JS26" s="196"/>
      <c r="JT26" s="196"/>
      <c r="JU26" s="196"/>
      <c r="JV26" s="196"/>
      <c r="JW26" s="196"/>
      <c r="JX26" s="196"/>
      <c r="JY26" s="196"/>
      <c r="JZ26" s="196"/>
      <c r="KA26" s="196"/>
      <c r="KB26" s="196"/>
      <c r="KC26" s="196"/>
      <c r="KD26" s="196"/>
      <c r="KE26" s="196"/>
      <c r="KF26" s="196"/>
      <c r="KG26" s="196"/>
      <c r="KH26" s="196"/>
      <c r="KI26" s="196"/>
      <c r="KJ26" s="196"/>
      <c r="KK26" s="196"/>
      <c r="KL26" s="196"/>
      <c r="KM26" s="196"/>
      <c r="KN26" s="196"/>
      <c r="KO26" s="196"/>
      <c r="KP26" s="196"/>
      <c r="KQ26" s="196"/>
      <c r="KR26" s="196"/>
      <c r="KS26" s="196"/>
      <c r="KT26" s="196"/>
      <c r="KU26" s="196"/>
      <c r="KV26" s="196"/>
      <c r="KW26" s="196"/>
      <c r="KX26" s="196"/>
      <c r="KY26" s="196"/>
      <c r="KZ26" s="196"/>
      <c r="LA26" s="196"/>
      <c r="LB26" s="196"/>
      <c r="LC26" s="196"/>
      <c r="LD26" s="196"/>
      <c r="LE26" s="196"/>
      <c r="LF26" s="196"/>
      <c r="LG26" s="196"/>
      <c r="LH26" s="196"/>
      <c r="LI26" s="196"/>
      <c r="LJ26" s="196"/>
      <c r="LK26" s="196"/>
      <c r="LL26" s="196"/>
      <c r="LM26" s="196"/>
      <c r="LN26" s="196"/>
      <c r="LO26" s="196"/>
      <c r="LP26" s="196"/>
      <c r="LQ26" s="196"/>
      <c r="LR26" s="196"/>
      <c r="LS26" s="196"/>
      <c r="LT26" s="196"/>
      <c r="LU26" s="196"/>
      <c r="LV26" s="196"/>
      <c r="LW26" s="196"/>
      <c r="LX26" s="196"/>
      <c r="LY26" s="196"/>
      <c r="LZ26" s="196"/>
      <c r="MA26" s="196"/>
      <c r="MB26" s="196"/>
      <c r="MC26" s="196"/>
      <c r="MD26" s="196"/>
      <c r="ME26" s="196"/>
      <c r="MF26" s="196"/>
      <c r="MG26" s="196"/>
      <c r="MH26" s="196"/>
      <c r="MI26" s="196"/>
      <c r="MJ26" s="196"/>
      <c r="MK26" s="196"/>
      <c r="ML26" s="196"/>
      <c r="MM26" s="196"/>
      <c r="MN26" s="196"/>
      <c r="MO26" s="196"/>
      <c r="MP26" s="196"/>
      <c r="MQ26" s="196"/>
      <c r="MR26" s="196"/>
      <c r="MS26" s="196"/>
      <c r="MT26" s="196"/>
      <c r="MU26" s="196"/>
      <c r="MV26" s="196"/>
      <c r="MW26" s="196"/>
      <c r="MX26" s="196"/>
      <c r="MY26" s="196"/>
      <c r="MZ26" s="196"/>
      <c r="NA26" s="196"/>
      <c r="NB26" s="196"/>
      <c r="NC26" s="196"/>
      <c r="ND26" s="196"/>
      <c r="NE26" s="196"/>
      <c r="NF26" s="196"/>
      <c r="NG26" s="196"/>
      <c r="NH26" s="196"/>
      <c r="NI26" s="196"/>
      <c r="NJ26" s="196"/>
      <c r="NK26" s="196"/>
      <c r="NL26" s="196"/>
      <c r="NM26" s="196"/>
      <c r="NN26" s="196"/>
      <c r="NO26" s="196"/>
      <c r="NP26" s="196"/>
      <c r="NQ26" s="196"/>
      <c r="NR26" s="196"/>
      <c r="NS26" s="196"/>
      <c r="NT26" s="196"/>
      <c r="NU26" s="196"/>
      <c r="NV26" s="196"/>
      <c r="NW26" s="196"/>
      <c r="NX26" s="196"/>
      <c r="NY26" s="196"/>
      <c r="NZ26" s="196"/>
      <c r="OA26" s="196"/>
      <c r="OB26" s="196"/>
      <c r="OC26" s="196"/>
      <c r="OD26" s="196"/>
    </row>
    <row r="27" spans="1:394" s="18" customFormat="1" ht="16.5">
      <c r="A27" s="282"/>
      <c r="B27" s="293" t="s">
        <v>332</v>
      </c>
      <c r="C27" s="97" t="s">
        <v>333</v>
      </c>
      <c r="D27" s="97" t="s">
        <v>334</v>
      </c>
      <c r="E27" s="98" t="s">
        <v>335</v>
      </c>
      <c r="F27" s="99" t="s">
        <v>336</v>
      </c>
      <c r="G27" s="100" t="s">
        <v>337</v>
      </c>
      <c r="H27" s="98" t="s">
        <v>338</v>
      </c>
      <c r="I27" s="98" t="s">
        <v>339</v>
      </c>
      <c r="J27" s="98" t="s">
        <v>340</v>
      </c>
      <c r="K27" s="98" t="s">
        <v>341</v>
      </c>
      <c r="L27" s="197"/>
      <c r="M27" s="198"/>
    </row>
    <row r="28" spans="1:394" s="18" customFormat="1" ht="14.5">
      <c r="A28" s="283"/>
      <c r="B28" s="294"/>
      <c r="C28" s="101" t="s">
        <v>342</v>
      </c>
      <c r="D28" s="101" t="s">
        <v>343</v>
      </c>
      <c r="E28" s="102">
        <f>'02月PL'!E91</f>
        <v>0</v>
      </c>
      <c r="F28" s="103">
        <f>25%</f>
        <v>0.25</v>
      </c>
      <c r="G28" s="104">
        <f>E28*F28*0</f>
        <v>0</v>
      </c>
      <c r="H28" s="102">
        <v>0</v>
      </c>
      <c r="I28" s="199">
        <f>G28-H28</f>
        <v>0</v>
      </c>
      <c r="J28" s="98"/>
      <c r="K28" s="98"/>
      <c r="L28" s="197"/>
      <c r="M28" s="198"/>
    </row>
    <row r="29" spans="1:394" s="59" customFormat="1" ht="27.75" customHeight="1">
      <c r="A29" s="105">
        <v>3</v>
      </c>
      <c r="B29" s="106" t="s">
        <v>344</v>
      </c>
      <c r="C29" s="106"/>
      <c r="D29" s="106"/>
      <c r="E29" s="107">
        <f>SUM(E28:E28)</f>
        <v>0</v>
      </c>
      <c r="F29" s="108"/>
      <c r="G29" s="109">
        <f>SUM(G28:G28)</f>
        <v>0</v>
      </c>
      <c r="H29" s="107">
        <f>I28</f>
        <v>0</v>
      </c>
      <c r="I29" s="266" t="s">
        <v>345</v>
      </c>
      <c r="J29" s="107"/>
      <c r="K29" s="107"/>
      <c r="L29" s="200"/>
      <c r="M29" s="198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6"/>
      <c r="BM29" s="196"/>
      <c r="BN29" s="196"/>
      <c r="BO29" s="196"/>
      <c r="BP29" s="196"/>
      <c r="BQ29" s="196"/>
      <c r="BR29" s="196"/>
      <c r="BS29" s="196"/>
      <c r="BT29" s="196"/>
      <c r="BU29" s="196"/>
      <c r="BV29" s="196"/>
      <c r="BW29" s="196"/>
      <c r="BX29" s="196"/>
      <c r="BY29" s="196"/>
      <c r="BZ29" s="196"/>
      <c r="CA29" s="196"/>
      <c r="CB29" s="196"/>
      <c r="CC29" s="196"/>
      <c r="CD29" s="196"/>
      <c r="CE29" s="196"/>
      <c r="CF29" s="196"/>
      <c r="CG29" s="196"/>
      <c r="CH29" s="196"/>
      <c r="CI29" s="196"/>
      <c r="CJ29" s="196"/>
      <c r="CK29" s="196"/>
      <c r="CL29" s="196"/>
      <c r="CM29" s="196"/>
      <c r="CN29" s="196"/>
      <c r="CO29" s="196"/>
      <c r="CP29" s="196"/>
      <c r="CQ29" s="196"/>
      <c r="CR29" s="196"/>
      <c r="CS29" s="196"/>
      <c r="CT29" s="196"/>
      <c r="CU29" s="196"/>
      <c r="CV29" s="196"/>
      <c r="CW29" s="196"/>
      <c r="CX29" s="196"/>
      <c r="CY29" s="196"/>
      <c r="CZ29" s="196"/>
      <c r="DA29" s="196"/>
      <c r="DB29" s="196"/>
      <c r="DC29" s="196"/>
      <c r="DD29" s="196"/>
      <c r="DE29" s="196"/>
      <c r="DF29" s="196"/>
      <c r="DG29" s="196"/>
      <c r="DH29" s="196"/>
      <c r="DI29" s="196"/>
      <c r="DJ29" s="196"/>
      <c r="DK29" s="196"/>
      <c r="DL29" s="196"/>
      <c r="DM29" s="196"/>
      <c r="DN29" s="196"/>
      <c r="DO29" s="196"/>
      <c r="DP29" s="196"/>
      <c r="DQ29" s="196"/>
      <c r="DR29" s="196"/>
      <c r="DS29" s="196"/>
      <c r="DT29" s="196"/>
      <c r="DU29" s="196"/>
      <c r="DV29" s="196"/>
      <c r="DW29" s="196"/>
      <c r="DX29" s="196"/>
      <c r="DY29" s="196"/>
      <c r="DZ29" s="196"/>
      <c r="EA29" s="196"/>
      <c r="EB29" s="196"/>
      <c r="EC29" s="196"/>
      <c r="ED29" s="196"/>
      <c r="EE29" s="196"/>
      <c r="EF29" s="196"/>
      <c r="EG29" s="196"/>
      <c r="EH29" s="196"/>
      <c r="EI29" s="196"/>
      <c r="EJ29" s="196"/>
      <c r="EK29" s="196"/>
      <c r="EL29" s="196"/>
      <c r="EM29" s="196"/>
      <c r="EN29" s="196"/>
      <c r="EO29" s="196"/>
      <c r="EP29" s="196"/>
      <c r="EQ29" s="196"/>
      <c r="ER29" s="196"/>
      <c r="ES29" s="196"/>
      <c r="ET29" s="196"/>
      <c r="EU29" s="196"/>
      <c r="EV29" s="196"/>
      <c r="EW29" s="196"/>
      <c r="EX29" s="196"/>
      <c r="EY29" s="196"/>
      <c r="EZ29" s="196"/>
      <c r="FA29" s="196"/>
      <c r="FB29" s="196"/>
      <c r="FC29" s="196"/>
      <c r="FD29" s="196"/>
      <c r="FE29" s="196"/>
      <c r="FF29" s="196"/>
      <c r="FG29" s="196"/>
      <c r="FH29" s="196"/>
      <c r="FI29" s="196"/>
      <c r="FJ29" s="196"/>
      <c r="FK29" s="196"/>
      <c r="FL29" s="196"/>
      <c r="FM29" s="196"/>
      <c r="FN29" s="196"/>
      <c r="FO29" s="196"/>
      <c r="FP29" s="196"/>
      <c r="FQ29" s="196"/>
      <c r="FR29" s="196"/>
      <c r="FS29" s="196"/>
      <c r="FT29" s="196"/>
      <c r="FU29" s="196"/>
      <c r="FV29" s="196"/>
      <c r="FW29" s="196"/>
      <c r="FX29" s="196"/>
      <c r="FY29" s="196"/>
      <c r="FZ29" s="196"/>
      <c r="GA29" s="196"/>
      <c r="GB29" s="196"/>
      <c r="GC29" s="196"/>
      <c r="GD29" s="196"/>
      <c r="GE29" s="196"/>
      <c r="GF29" s="196"/>
      <c r="GG29" s="196"/>
      <c r="GH29" s="196"/>
      <c r="GI29" s="196"/>
      <c r="GJ29" s="196"/>
      <c r="GK29" s="196"/>
      <c r="GL29" s="196"/>
      <c r="GM29" s="196"/>
      <c r="GN29" s="196"/>
      <c r="GO29" s="196"/>
      <c r="GP29" s="196"/>
      <c r="GQ29" s="196"/>
      <c r="GR29" s="196"/>
      <c r="GS29" s="196"/>
      <c r="GT29" s="196"/>
      <c r="GU29" s="196"/>
      <c r="GV29" s="196"/>
      <c r="GW29" s="196"/>
      <c r="GX29" s="196"/>
      <c r="GY29" s="196"/>
      <c r="GZ29" s="196"/>
      <c r="HA29" s="196"/>
      <c r="HB29" s="196"/>
      <c r="HC29" s="196"/>
      <c r="HD29" s="196"/>
      <c r="HE29" s="196"/>
      <c r="HF29" s="196"/>
      <c r="HG29" s="196"/>
      <c r="HH29" s="196"/>
      <c r="HI29" s="196"/>
      <c r="HJ29" s="196"/>
      <c r="HK29" s="196"/>
      <c r="HL29" s="196"/>
      <c r="HM29" s="196"/>
      <c r="HN29" s="196"/>
      <c r="HO29" s="196"/>
      <c r="HP29" s="196"/>
      <c r="HQ29" s="196"/>
      <c r="HR29" s="196"/>
      <c r="HS29" s="196"/>
      <c r="HT29" s="196"/>
      <c r="HU29" s="196"/>
      <c r="HV29" s="196"/>
      <c r="HW29" s="196"/>
      <c r="HX29" s="196"/>
      <c r="HY29" s="196"/>
      <c r="HZ29" s="196"/>
      <c r="IA29" s="196"/>
      <c r="IB29" s="196"/>
      <c r="IC29" s="196"/>
      <c r="ID29" s="196"/>
      <c r="IE29" s="196"/>
      <c r="IF29" s="196"/>
      <c r="IG29" s="196"/>
      <c r="IH29" s="196"/>
      <c r="II29" s="196"/>
      <c r="IJ29" s="196"/>
      <c r="IK29" s="196"/>
      <c r="IL29" s="196"/>
      <c r="IM29" s="196"/>
      <c r="IN29" s="196"/>
      <c r="IO29" s="196"/>
      <c r="IP29" s="196"/>
      <c r="IQ29" s="196"/>
      <c r="IR29" s="196"/>
      <c r="IS29" s="196"/>
      <c r="IT29" s="196"/>
      <c r="IU29" s="196"/>
      <c r="IV29" s="196"/>
      <c r="IW29" s="196"/>
      <c r="IX29" s="196"/>
      <c r="IY29" s="196"/>
      <c r="IZ29" s="196"/>
      <c r="JA29" s="196"/>
      <c r="JB29" s="196"/>
      <c r="JC29" s="196"/>
      <c r="JD29" s="196"/>
      <c r="JE29" s="196"/>
      <c r="JF29" s="196"/>
      <c r="JG29" s="196"/>
      <c r="JH29" s="196"/>
      <c r="JI29" s="196"/>
      <c r="JJ29" s="196"/>
      <c r="JK29" s="196"/>
      <c r="JL29" s="196"/>
      <c r="JM29" s="196"/>
      <c r="JN29" s="196"/>
      <c r="JO29" s="196"/>
      <c r="JP29" s="196"/>
      <c r="JQ29" s="196"/>
      <c r="JR29" s="196"/>
      <c r="JS29" s="196"/>
      <c r="JT29" s="196"/>
      <c r="JU29" s="196"/>
      <c r="JV29" s="196"/>
      <c r="JW29" s="196"/>
      <c r="JX29" s="196"/>
      <c r="JY29" s="196"/>
      <c r="JZ29" s="196"/>
      <c r="KA29" s="196"/>
      <c r="KB29" s="196"/>
      <c r="KC29" s="196"/>
      <c r="KD29" s="196"/>
      <c r="KE29" s="196"/>
      <c r="KF29" s="196"/>
      <c r="KG29" s="196"/>
      <c r="KH29" s="196"/>
      <c r="KI29" s="196"/>
      <c r="KJ29" s="196"/>
      <c r="KK29" s="196"/>
      <c r="KL29" s="196"/>
      <c r="KM29" s="196"/>
      <c r="KN29" s="196"/>
      <c r="KO29" s="196"/>
      <c r="KP29" s="196"/>
      <c r="KQ29" s="196"/>
      <c r="KR29" s="196"/>
      <c r="KS29" s="196"/>
      <c r="KT29" s="196"/>
      <c r="KU29" s="196"/>
      <c r="KV29" s="196"/>
      <c r="KW29" s="196"/>
      <c r="KX29" s="196"/>
      <c r="KY29" s="196"/>
      <c r="KZ29" s="196"/>
      <c r="LA29" s="196"/>
      <c r="LB29" s="196"/>
      <c r="LC29" s="196"/>
      <c r="LD29" s="196"/>
      <c r="LE29" s="196"/>
      <c r="LF29" s="196"/>
      <c r="LG29" s="196"/>
      <c r="LH29" s="196"/>
      <c r="LI29" s="196"/>
      <c r="LJ29" s="196"/>
      <c r="LK29" s="196"/>
      <c r="LL29" s="196"/>
      <c r="LM29" s="196"/>
      <c r="LN29" s="196"/>
      <c r="LO29" s="196"/>
      <c r="LP29" s="196"/>
      <c r="LQ29" s="196"/>
      <c r="LR29" s="196"/>
      <c r="LS29" s="196"/>
      <c r="LT29" s="196"/>
      <c r="LU29" s="196"/>
      <c r="LV29" s="196"/>
      <c r="LW29" s="196"/>
      <c r="LX29" s="196"/>
      <c r="LY29" s="196"/>
      <c r="LZ29" s="196"/>
      <c r="MA29" s="196"/>
      <c r="MB29" s="196"/>
      <c r="MC29" s="196"/>
      <c r="MD29" s="196"/>
      <c r="ME29" s="196"/>
      <c r="MF29" s="196"/>
      <c r="MG29" s="196"/>
      <c r="MH29" s="196"/>
      <c r="MI29" s="196"/>
      <c r="MJ29" s="196"/>
      <c r="MK29" s="196"/>
      <c r="ML29" s="196"/>
      <c r="MM29" s="196"/>
      <c r="MN29" s="196"/>
      <c r="MO29" s="196"/>
      <c r="MP29" s="196"/>
      <c r="MQ29" s="196"/>
      <c r="MR29" s="196"/>
      <c r="MS29" s="196"/>
      <c r="MT29" s="196"/>
      <c r="MU29" s="196"/>
      <c r="MV29" s="196"/>
      <c r="MW29" s="196"/>
      <c r="MX29" s="196"/>
      <c r="MY29" s="196"/>
      <c r="MZ29" s="196"/>
      <c r="NA29" s="196"/>
      <c r="NB29" s="196"/>
      <c r="NC29" s="196"/>
      <c r="ND29" s="196"/>
      <c r="NE29" s="196"/>
      <c r="NF29" s="196"/>
      <c r="NG29" s="196"/>
      <c r="NH29" s="196"/>
      <c r="NI29" s="196"/>
      <c r="NJ29" s="196"/>
      <c r="NK29" s="196"/>
      <c r="NL29" s="196"/>
      <c r="NM29" s="196"/>
      <c r="NN29" s="196"/>
      <c r="NO29" s="196"/>
      <c r="NP29" s="196"/>
      <c r="NQ29" s="196"/>
      <c r="NR29" s="196"/>
      <c r="NS29" s="196"/>
      <c r="NT29" s="196"/>
      <c r="NU29" s="196"/>
      <c r="NV29" s="196"/>
      <c r="NW29" s="196"/>
      <c r="NX29" s="196"/>
      <c r="NY29" s="196"/>
      <c r="NZ29" s="196"/>
      <c r="OA29" s="196"/>
      <c r="OB29" s="196"/>
      <c r="OC29" s="196"/>
      <c r="OD29" s="196"/>
    </row>
    <row r="30" spans="1:394" s="59" customFormat="1" ht="21" customHeight="1">
      <c r="A30" s="110">
        <v>4</v>
      </c>
      <c r="B30" s="111" t="s">
        <v>346</v>
      </c>
      <c r="C30" s="112" t="s">
        <v>347</v>
      </c>
      <c r="D30" s="111" t="s">
        <v>348</v>
      </c>
      <c r="E30" s="113"/>
      <c r="F30" s="114" t="s">
        <v>349</v>
      </c>
      <c r="G30" s="115">
        <v>2.4</v>
      </c>
      <c r="H30" s="113">
        <f>(E30*G30/12*6)</f>
        <v>0</v>
      </c>
      <c r="I30" s="201" t="s">
        <v>350</v>
      </c>
      <c r="J30" s="202"/>
      <c r="K30" s="113">
        <f>H30-J30</f>
        <v>0</v>
      </c>
      <c r="L30" s="203"/>
      <c r="M30" s="19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  <c r="BP30" s="196"/>
      <c r="BQ30" s="196"/>
      <c r="BR30" s="196"/>
      <c r="BS30" s="196"/>
      <c r="BT30" s="196"/>
      <c r="BU30" s="196"/>
      <c r="BV30" s="196"/>
      <c r="BW30" s="196"/>
      <c r="BX30" s="196"/>
      <c r="BY30" s="196"/>
      <c r="BZ30" s="196"/>
      <c r="CA30" s="196"/>
      <c r="CB30" s="196"/>
      <c r="CC30" s="196"/>
      <c r="CD30" s="196"/>
      <c r="CE30" s="196"/>
      <c r="CF30" s="196"/>
      <c r="CG30" s="196"/>
      <c r="CH30" s="196"/>
      <c r="CI30" s="196"/>
      <c r="CJ30" s="196"/>
      <c r="CK30" s="196"/>
      <c r="CL30" s="196"/>
      <c r="CM30" s="196"/>
      <c r="CN30" s="196"/>
      <c r="CO30" s="196"/>
      <c r="CP30" s="196"/>
      <c r="CQ30" s="196"/>
      <c r="CR30" s="196"/>
      <c r="CS30" s="196"/>
      <c r="CT30" s="196"/>
      <c r="CU30" s="196"/>
      <c r="CV30" s="196"/>
      <c r="CW30" s="196"/>
      <c r="CX30" s="196"/>
      <c r="CY30" s="196"/>
      <c r="CZ30" s="196"/>
      <c r="DA30" s="196"/>
      <c r="DB30" s="196"/>
      <c r="DC30" s="196"/>
      <c r="DD30" s="196"/>
      <c r="DE30" s="196"/>
      <c r="DF30" s="196"/>
      <c r="DG30" s="196"/>
      <c r="DH30" s="196"/>
      <c r="DI30" s="196"/>
      <c r="DJ30" s="196"/>
      <c r="DK30" s="196"/>
      <c r="DL30" s="196"/>
      <c r="DM30" s="196"/>
      <c r="DN30" s="196"/>
      <c r="DO30" s="196"/>
      <c r="DP30" s="196"/>
      <c r="DQ30" s="196"/>
      <c r="DR30" s="196"/>
      <c r="DS30" s="196"/>
      <c r="DT30" s="196"/>
      <c r="DU30" s="196"/>
      <c r="DV30" s="196"/>
      <c r="DW30" s="196"/>
      <c r="DX30" s="196"/>
      <c r="DY30" s="196"/>
      <c r="DZ30" s="196"/>
      <c r="EA30" s="196"/>
      <c r="EB30" s="196"/>
      <c r="EC30" s="196"/>
      <c r="ED30" s="196"/>
      <c r="EE30" s="196"/>
      <c r="EF30" s="196"/>
      <c r="EG30" s="196"/>
      <c r="EH30" s="196"/>
      <c r="EI30" s="196"/>
      <c r="EJ30" s="196"/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196"/>
      <c r="EZ30" s="196"/>
      <c r="FA30" s="196"/>
      <c r="FB30" s="196"/>
      <c r="FC30" s="196"/>
      <c r="FD30" s="196"/>
      <c r="FE30" s="196"/>
      <c r="FF30" s="196"/>
      <c r="FG30" s="196"/>
      <c r="FH30" s="196"/>
      <c r="FI30" s="196"/>
      <c r="FJ30" s="196"/>
      <c r="FK30" s="196"/>
      <c r="FL30" s="196"/>
      <c r="FM30" s="196"/>
      <c r="FN30" s="196"/>
      <c r="FO30" s="196"/>
      <c r="FP30" s="196"/>
      <c r="FQ30" s="196"/>
      <c r="FR30" s="196"/>
      <c r="FS30" s="196"/>
      <c r="FT30" s="196"/>
      <c r="FU30" s="196"/>
      <c r="FV30" s="196"/>
      <c r="FW30" s="196"/>
      <c r="FX30" s="196"/>
      <c r="FY30" s="196"/>
      <c r="FZ30" s="196"/>
      <c r="GA30" s="196"/>
      <c r="GB30" s="196"/>
      <c r="GC30" s="196"/>
      <c r="GD30" s="196"/>
      <c r="GE30" s="196"/>
      <c r="GF30" s="196"/>
      <c r="GG30" s="196"/>
      <c r="GH30" s="196"/>
      <c r="GI30" s="196"/>
      <c r="GJ30" s="196"/>
      <c r="GK30" s="196"/>
      <c r="GL30" s="196"/>
      <c r="GM30" s="196"/>
      <c r="GN30" s="196"/>
      <c r="GO30" s="196"/>
      <c r="GP30" s="196"/>
      <c r="GQ30" s="196"/>
      <c r="GR30" s="196"/>
      <c r="GS30" s="196"/>
      <c r="GT30" s="196"/>
      <c r="GU30" s="196"/>
      <c r="GV30" s="196"/>
      <c r="GW30" s="196"/>
      <c r="GX30" s="196"/>
      <c r="GY30" s="196"/>
      <c r="GZ30" s="196"/>
      <c r="HA30" s="196"/>
      <c r="HB30" s="196"/>
      <c r="HC30" s="196"/>
      <c r="HD30" s="196"/>
      <c r="HE30" s="196"/>
      <c r="HF30" s="196"/>
      <c r="HG30" s="196"/>
      <c r="HH30" s="196"/>
      <c r="HI30" s="196"/>
      <c r="HJ30" s="196"/>
      <c r="HK30" s="196"/>
      <c r="HL30" s="196"/>
      <c r="HM30" s="196"/>
      <c r="HN30" s="196"/>
      <c r="HO30" s="196"/>
      <c r="HP30" s="196"/>
      <c r="HQ30" s="196"/>
      <c r="HR30" s="196"/>
      <c r="HS30" s="196"/>
      <c r="HT30" s="196"/>
      <c r="HU30" s="196"/>
      <c r="HV30" s="196"/>
      <c r="HW30" s="196"/>
      <c r="HX30" s="196"/>
      <c r="HY30" s="196"/>
      <c r="HZ30" s="196"/>
      <c r="IA30" s="196"/>
      <c r="IB30" s="196"/>
      <c r="IC30" s="196"/>
      <c r="ID30" s="196"/>
      <c r="IE30" s="196"/>
      <c r="IF30" s="196"/>
      <c r="IG30" s="196"/>
      <c r="IH30" s="196"/>
      <c r="II30" s="196"/>
      <c r="IJ30" s="196"/>
      <c r="IK30" s="196"/>
      <c r="IL30" s="196"/>
      <c r="IM30" s="196"/>
      <c r="IN30" s="196"/>
      <c r="IO30" s="196"/>
      <c r="IP30" s="196"/>
      <c r="IQ30" s="196"/>
      <c r="IR30" s="196"/>
      <c r="IS30" s="196"/>
      <c r="IT30" s="196"/>
      <c r="IU30" s="196"/>
      <c r="IV30" s="196"/>
      <c r="IW30" s="196"/>
      <c r="IX30" s="196"/>
      <c r="IY30" s="196"/>
      <c r="IZ30" s="196"/>
      <c r="JA30" s="196"/>
      <c r="JB30" s="196"/>
      <c r="JC30" s="196"/>
      <c r="JD30" s="196"/>
      <c r="JE30" s="196"/>
      <c r="JF30" s="196"/>
      <c r="JG30" s="196"/>
      <c r="JH30" s="196"/>
      <c r="JI30" s="196"/>
      <c r="JJ30" s="196"/>
      <c r="JK30" s="196"/>
      <c r="JL30" s="196"/>
      <c r="JM30" s="196"/>
      <c r="JN30" s="196"/>
      <c r="JO30" s="196"/>
      <c r="JP30" s="196"/>
      <c r="JQ30" s="196"/>
      <c r="JR30" s="196"/>
      <c r="JS30" s="196"/>
      <c r="JT30" s="196"/>
      <c r="JU30" s="196"/>
      <c r="JV30" s="196"/>
      <c r="JW30" s="196"/>
      <c r="JX30" s="196"/>
      <c r="JY30" s="196"/>
      <c r="JZ30" s="196"/>
      <c r="KA30" s="196"/>
      <c r="KB30" s="196"/>
      <c r="KC30" s="196"/>
      <c r="KD30" s="196"/>
      <c r="KE30" s="196"/>
      <c r="KF30" s="196"/>
      <c r="KG30" s="196"/>
      <c r="KH30" s="196"/>
      <c r="KI30" s="196"/>
      <c r="KJ30" s="196"/>
      <c r="KK30" s="196"/>
      <c r="KL30" s="196"/>
      <c r="KM30" s="196"/>
      <c r="KN30" s="196"/>
      <c r="KO30" s="196"/>
      <c r="KP30" s="196"/>
      <c r="KQ30" s="196"/>
      <c r="KR30" s="196"/>
      <c r="KS30" s="196"/>
      <c r="KT30" s="196"/>
      <c r="KU30" s="196"/>
      <c r="KV30" s="196"/>
      <c r="KW30" s="196"/>
      <c r="KX30" s="196"/>
      <c r="KY30" s="196"/>
      <c r="KZ30" s="196"/>
      <c r="LA30" s="196"/>
      <c r="LB30" s="196"/>
      <c r="LC30" s="196"/>
      <c r="LD30" s="196"/>
      <c r="LE30" s="196"/>
      <c r="LF30" s="196"/>
      <c r="LG30" s="196"/>
      <c r="LH30" s="196"/>
      <c r="LI30" s="196"/>
      <c r="LJ30" s="196"/>
      <c r="LK30" s="196"/>
      <c r="LL30" s="196"/>
      <c r="LM30" s="196"/>
      <c r="LN30" s="196"/>
      <c r="LO30" s="196"/>
      <c r="LP30" s="196"/>
      <c r="LQ30" s="196"/>
      <c r="LR30" s="196"/>
      <c r="LS30" s="196"/>
      <c r="LT30" s="196"/>
      <c r="LU30" s="196"/>
      <c r="LV30" s="196"/>
      <c r="LW30" s="196"/>
      <c r="LX30" s="196"/>
      <c r="LY30" s="196"/>
      <c r="LZ30" s="196"/>
      <c r="MA30" s="196"/>
      <c r="MB30" s="196"/>
      <c r="MC30" s="196"/>
      <c r="MD30" s="196"/>
      <c r="ME30" s="196"/>
      <c r="MF30" s="196"/>
      <c r="MG30" s="196"/>
      <c r="MH30" s="196"/>
      <c r="MI30" s="196"/>
      <c r="MJ30" s="196"/>
      <c r="MK30" s="196"/>
      <c r="ML30" s="196"/>
      <c r="MM30" s="196"/>
      <c r="MN30" s="196"/>
      <c r="MO30" s="196"/>
      <c r="MP30" s="196"/>
      <c r="MQ30" s="196"/>
      <c r="MR30" s="196"/>
      <c r="MS30" s="196"/>
      <c r="MT30" s="196"/>
      <c r="MU30" s="196"/>
      <c r="MV30" s="196"/>
      <c r="MW30" s="196"/>
      <c r="MX30" s="196"/>
      <c r="MY30" s="196"/>
      <c r="MZ30" s="196"/>
      <c r="NA30" s="196"/>
      <c r="NB30" s="196"/>
      <c r="NC30" s="196"/>
      <c r="ND30" s="196"/>
      <c r="NE30" s="196"/>
      <c r="NF30" s="196"/>
      <c r="NG30" s="196"/>
      <c r="NH30" s="196"/>
      <c r="NI30" s="196"/>
      <c r="NJ30" s="196"/>
      <c r="NK30" s="196"/>
      <c r="NL30" s="196"/>
      <c r="NM30" s="196"/>
      <c r="NN30" s="196"/>
      <c r="NO30" s="196"/>
      <c r="NP30" s="196"/>
      <c r="NQ30" s="196"/>
      <c r="NR30" s="196"/>
      <c r="NS30" s="196"/>
      <c r="NT30" s="196"/>
      <c r="NU30" s="196"/>
      <c r="NV30" s="196"/>
      <c r="NW30" s="196"/>
      <c r="NX30" s="196"/>
      <c r="NY30" s="196"/>
      <c r="NZ30" s="196"/>
      <c r="OA30" s="196"/>
      <c r="OB30" s="196"/>
      <c r="OC30" s="196"/>
      <c r="OD30" s="196"/>
    </row>
    <row r="31" spans="1:394" s="18" customFormat="1" ht="19" customHeight="1">
      <c r="A31" s="116">
        <v>5</v>
      </c>
      <c r="B31" s="117" t="s">
        <v>351</v>
      </c>
      <c r="C31" s="117" t="s">
        <v>352</v>
      </c>
      <c r="D31" s="118" t="s">
        <v>353</v>
      </c>
      <c r="E31" s="119"/>
      <c r="F31" s="120"/>
      <c r="G31" s="121"/>
      <c r="H31" s="119"/>
      <c r="I31" s="204" t="s">
        <v>354</v>
      </c>
      <c r="J31" s="119"/>
      <c r="K31" s="119"/>
      <c r="L31" s="205"/>
      <c r="M31" s="206"/>
    </row>
    <row r="32" spans="1:394" s="18" customFormat="1">
      <c r="A32" s="284"/>
      <c r="B32" s="295" t="s">
        <v>355</v>
      </c>
      <c r="C32" s="122"/>
      <c r="D32" s="123" t="s">
        <v>356</v>
      </c>
      <c r="E32" s="124"/>
      <c r="F32" s="125"/>
      <c r="G32" s="122"/>
      <c r="H32" s="124"/>
      <c r="I32" s="207"/>
      <c r="J32" s="208"/>
      <c r="K32" s="208"/>
      <c r="M32" s="209"/>
    </row>
    <row r="33" spans="1:13" s="18" customFormat="1">
      <c r="A33" s="285"/>
      <c r="B33" s="296"/>
      <c r="C33" s="91" t="s">
        <v>357</v>
      </c>
      <c r="D33" s="126"/>
      <c r="E33" s="127"/>
      <c r="F33" s="128">
        <v>0.8</v>
      </c>
      <c r="G33" s="75">
        <v>0.2</v>
      </c>
      <c r="H33" s="127">
        <f>ROUND(IF(D33&lt;=800,0,IF(D33&lt;=3360,(D33-800)/4,IF(D33&lt;=21000,0.16*D33/0.84,IF(D33&lt;=49500,(0.24*D33-2000)/0.76,(0.32*D33-7000)/0.68)))),2)</f>
        <v>0</v>
      </c>
      <c r="I33" s="210">
        <v>6600020002</v>
      </c>
      <c r="J33" s="211">
        <v>0</v>
      </c>
      <c r="K33" s="211">
        <f>H33-J33</f>
        <v>0</v>
      </c>
      <c r="L33" s="45"/>
      <c r="M33" s="209"/>
    </row>
    <row r="34" spans="1:13" s="18" customFormat="1" ht="14.5">
      <c r="A34" s="286"/>
      <c r="B34" s="297"/>
      <c r="C34" s="91" t="s">
        <v>358</v>
      </c>
      <c r="D34" s="127"/>
      <c r="E34" s="127">
        <f>ROUND(IF(D34&lt;=800,0,IF(D34&lt;=3360,(D34-800)/4,IF(D34&lt;=21000,0.16*D34/0.84,IF(D34&lt;=49500,(0.24*D34-2000)/0.76,(0.32*D34-7000)/0.68)))),2)+D34</f>
        <v>0</v>
      </c>
      <c r="F34" s="128">
        <v>0.8</v>
      </c>
      <c r="G34" s="75">
        <v>0.4</v>
      </c>
      <c r="H34" s="127">
        <f>IF(AND(E34=0),0,IF(AND(E34&lt;=4000),E34-800,IF(AND(E34&gt;4000),E34*F34*G34-7000)))</f>
        <v>0</v>
      </c>
      <c r="I34" s="210">
        <v>6600020002</v>
      </c>
      <c r="J34" s="211">
        <v>0</v>
      </c>
      <c r="K34" s="211"/>
      <c r="L34" s="212"/>
      <c r="M34" s="206"/>
    </row>
    <row r="35" spans="1:13" s="18" customFormat="1">
      <c r="A35" s="285"/>
      <c r="B35" s="296"/>
      <c r="C35" s="129" t="s">
        <v>359</v>
      </c>
      <c r="D35" s="126"/>
      <c r="E35" s="127"/>
      <c r="F35" s="128">
        <v>0.8</v>
      </c>
      <c r="G35" s="75">
        <v>0.2</v>
      </c>
      <c r="H35" s="127"/>
      <c r="I35" s="213"/>
      <c r="J35" s="214"/>
      <c r="K35" s="214"/>
      <c r="L35" s="26"/>
      <c r="M35" s="209"/>
    </row>
    <row r="36" spans="1:13" s="18" customFormat="1" ht="14.5">
      <c r="A36" s="287"/>
      <c r="B36" s="298"/>
      <c r="C36" s="129" t="s">
        <v>360</v>
      </c>
      <c r="D36" s="130"/>
      <c r="E36" s="127"/>
      <c r="F36" s="131">
        <v>0.8</v>
      </c>
      <c r="G36" s="132">
        <v>0.2</v>
      </c>
      <c r="H36" s="127"/>
      <c r="I36" s="213"/>
      <c r="J36" s="214"/>
      <c r="K36" s="214"/>
      <c r="L36" s="215"/>
      <c r="M36" s="209"/>
    </row>
    <row r="37" spans="1:13" s="18" customFormat="1" ht="28.5" customHeight="1">
      <c r="A37" s="133">
        <v>6</v>
      </c>
      <c r="B37" s="134" t="str">
        <f>B32</f>
        <v>个人所得税</v>
      </c>
      <c r="C37" s="135"/>
      <c r="D37" s="136"/>
      <c r="E37" s="137"/>
      <c r="F37" s="138"/>
      <c r="G37" s="139"/>
      <c r="H37" s="140"/>
      <c r="I37" s="216" t="s">
        <v>361</v>
      </c>
      <c r="J37" s="137"/>
      <c r="K37" s="217"/>
      <c r="L37" s="218"/>
      <c r="M37" s="219"/>
    </row>
    <row r="38" spans="1:13" s="18" customFormat="1" ht="28.5" customHeight="1">
      <c r="A38" s="141">
        <v>7</v>
      </c>
      <c r="B38" s="142" t="s">
        <v>362</v>
      </c>
      <c r="C38" s="143" t="s">
        <v>363</v>
      </c>
      <c r="D38" s="144"/>
      <c r="E38" s="145">
        <f>伊金悦盛项目累计缴纳!D5</f>
        <v>0</v>
      </c>
      <c r="F38" s="146"/>
      <c r="G38" s="147">
        <v>0.01</v>
      </c>
      <c r="H38" s="145">
        <f>E38*G38</f>
        <v>0</v>
      </c>
      <c r="I38" s="220"/>
      <c r="J38" s="145"/>
      <c r="K38" s="145"/>
      <c r="L38" s="145"/>
      <c r="M38" s="219"/>
    </row>
    <row r="39" spans="1:13" s="18" customFormat="1" ht="28.5" customHeight="1">
      <c r="A39" s="148">
        <v>8</v>
      </c>
      <c r="B39" s="149" t="s">
        <v>364</v>
      </c>
      <c r="C39" s="150" t="s">
        <v>365</v>
      </c>
      <c r="D39" s="151"/>
      <c r="E39" s="151"/>
      <c r="F39" s="152">
        <v>1</v>
      </c>
      <c r="G39" s="153">
        <v>27</v>
      </c>
      <c r="H39" s="154"/>
      <c r="I39" s="221"/>
      <c r="J39" s="154"/>
      <c r="K39" s="154"/>
      <c r="L39" s="154"/>
      <c r="M39" s="61"/>
    </row>
    <row r="40" spans="1:13" s="18" customFormat="1" ht="28.5" customHeight="1">
      <c r="A40" s="155">
        <v>9</v>
      </c>
      <c r="B40" s="156" t="s">
        <v>366</v>
      </c>
      <c r="C40" s="157" t="s">
        <v>367</v>
      </c>
      <c r="D40" s="158"/>
      <c r="E40" s="158"/>
      <c r="F40" s="159">
        <v>1</v>
      </c>
      <c r="G40" s="160">
        <v>0.03</v>
      </c>
      <c r="H40" s="161"/>
      <c r="I40" s="222"/>
      <c r="J40" s="161"/>
      <c r="K40" s="161"/>
      <c r="L40" s="161"/>
      <c r="M40" s="61"/>
    </row>
    <row r="41" spans="1:13" ht="29.5" customHeight="1">
      <c r="A41" s="275" t="s">
        <v>368</v>
      </c>
      <c r="B41" s="276"/>
      <c r="C41" s="162"/>
      <c r="D41" s="163"/>
      <c r="E41" s="164"/>
      <c r="F41" s="162"/>
      <c r="G41" s="162"/>
      <c r="H41" s="165">
        <f>H17+H26+H29+H30+H31+H37+H38+H39+H40</f>
        <v>0</v>
      </c>
      <c r="I41" s="223"/>
      <c r="J41" s="165">
        <f>J17+J26+J29+J30+J31+J37+J38</f>
        <v>0</v>
      </c>
      <c r="K41" s="224"/>
      <c r="L41" s="224"/>
    </row>
    <row r="42" spans="1:13">
      <c r="A42" s="166"/>
      <c r="B42" s="166"/>
      <c r="C42" s="166"/>
      <c r="D42" s="166"/>
      <c r="E42" s="166"/>
      <c r="F42" s="166"/>
      <c r="G42" s="166"/>
      <c r="H42" s="167"/>
      <c r="I42" s="167"/>
      <c r="J42" s="167"/>
      <c r="K42" s="167"/>
      <c r="L42" s="166"/>
    </row>
    <row r="43" spans="1:13">
      <c r="A43" s="166"/>
      <c r="B43" s="166"/>
      <c r="C43" s="166"/>
      <c r="D43" s="166"/>
      <c r="E43" s="168"/>
      <c r="F43" s="166"/>
      <c r="G43" s="169"/>
      <c r="H43" s="167"/>
      <c r="I43" s="167"/>
      <c r="J43" s="167"/>
      <c r="K43" s="167"/>
      <c r="L43" s="166"/>
    </row>
    <row r="44" spans="1:13">
      <c r="A44" s="166"/>
      <c r="B44" s="170"/>
      <c r="C44" s="166"/>
      <c r="D44" s="166"/>
      <c r="E44" s="166"/>
      <c r="F44" s="166"/>
      <c r="G44" s="166"/>
      <c r="H44" s="167"/>
      <c r="I44" s="167"/>
      <c r="J44" s="167"/>
      <c r="K44" s="167"/>
      <c r="L44" s="166"/>
    </row>
    <row r="45" spans="1:13" ht="15.75" customHeight="1">
      <c r="A45" s="166"/>
      <c r="B45" s="166"/>
      <c r="C45" s="166"/>
      <c r="D45" s="166"/>
      <c r="E45" s="166"/>
      <c r="F45" s="166"/>
      <c r="G45" s="166"/>
      <c r="H45" s="167"/>
      <c r="I45" s="167"/>
      <c r="J45" s="167"/>
      <c r="K45" s="167"/>
      <c r="L45" s="166"/>
    </row>
    <row r="46" spans="1:13" ht="29.25" customHeight="1">
      <c r="A46" s="166"/>
      <c r="B46" s="166"/>
      <c r="C46" s="166"/>
      <c r="D46" s="166"/>
      <c r="E46" s="166"/>
      <c r="F46" s="166"/>
      <c r="G46" s="171"/>
      <c r="H46" s="167"/>
      <c r="I46" s="167"/>
      <c r="J46" s="167"/>
      <c r="K46" s="167"/>
      <c r="L46" s="166"/>
    </row>
    <row r="47" spans="1:13">
      <c r="A47" s="166"/>
      <c r="B47" s="166"/>
      <c r="C47" s="166"/>
      <c r="D47" s="166"/>
      <c r="E47" s="166"/>
      <c r="F47" s="166"/>
      <c r="G47" s="171"/>
      <c r="H47" s="167"/>
      <c r="I47" s="167"/>
      <c r="J47" s="167"/>
      <c r="K47" s="167"/>
      <c r="L47" s="171"/>
    </row>
    <row r="48" spans="1:13">
      <c r="A48" s="166"/>
      <c r="B48" s="166"/>
      <c r="C48" s="166"/>
      <c r="D48" s="166"/>
      <c r="E48" s="166"/>
      <c r="F48" s="166"/>
      <c r="G48" s="171"/>
      <c r="H48" s="167"/>
      <c r="I48" s="167"/>
      <c r="J48" s="167"/>
      <c r="K48" s="167"/>
      <c r="L48" s="166"/>
    </row>
    <row r="49" spans="1:12">
      <c r="A49" s="166"/>
      <c r="B49" s="166"/>
      <c r="C49" s="166"/>
      <c r="D49" s="166"/>
      <c r="E49" s="166"/>
      <c r="F49" s="166"/>
      <c r="G49" s="166"/>
      <c r="H49" s="167"/>
      <c r="I49" s="167"/>
      <c r="J49" s="167"/>
      <c r="K49" s="167"/>
      <c r="L49" s="166"/>
    </row>
  </sheetData>
  <mergeCells count="12">
    <mergeCell ref="A1:M1"/>
    <mergeCell ref="H2:M2"/>
    <mergeCell ref="A41:B41"/>
    <mergeCell ref="A4:A16"/>
    <mergeCell ref="A19:A25"/>
    <mergeCell ref="A27:A28"/>
    <mergeCell ref="A32:A36"/>
    <mergeCell ref="B4:B16"/>
    <mergeCell ref="B19:B25"/>
    <mergeCell ref="B27:B28"/>
    <mergeCell ref="B32:B36"/>
    <mergeCell ref="D5:D16"/>
  </mergeCells>
  <phoneticPr fontId="64" type="noConversion"/>
  <dataValidations count="2">
    <dataValidation type="list" allowBlank="1" showInputMessage="1" showErrorMessage="1" sqref="D28" xr:uid="{00000000-0002-0000-0600-000000000000}">
      <formula1>"减免期,减半期"</formula1>
    </dataValidation>
    <dataValidation type="list" allowBlank="1" showInputMessage="1" showErrorMessage="1" sqref="G19:G22" xr:uid="{00000000-0002-0000-0600-000001000000}">
      <formula1>$R$23:$R$23</formula1>
    </dataValidation>
  </dataValidations>
  <pageMargins left="0.7" right="0.7" top="0.75" bottom="0.75" header="0.3" footer="0.3"/>
  <pageSetup paperSize="9" scale="42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A1:AA13"/>
  <sheetViews>
    <sheetView zoomScale="90" zoomScaleNormal="90" workbookViewId="0">
      <selection activeCell="Q27" sqref="Q27"/>
    </sheetView>
  </sheetViews>
  <sheetFormatPr defaultColWidth="8.6640625" defaultRowHeight="14"/>
  <cols>
    <col min="1" max="16" width="8.6640625" style="18"/>
    <col min="17" max="17" width="12.75" style="18" customWidth="1"/>
    <col min="18" max="18" width="8.6640625" style="18"/>
    <col min="19" max="19" width="11.5" style="18" customWidth="1"/>
    <col min="20" max="16384" width="8.6640625" style="18"/>
  </cols>
  <sheetData>
    <row r="1" spans="1:27" s="51" customFormat="1" ht="17.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s="51" customFormat="1" ht="14.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spans="1:27" s="51" customFormat="1" ht="14.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s="51" customFormat="1" ht="14.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s="51" customFormat="1" ht="14.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>
      <c r="S6" s="57"/>
    </row>
    <row r="7" spans="1:27" ht="17.5">
      <c r="A7" s="302"/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55"/>
      <c r="P7" s="55"/>
      <c r="Q7" s="55"/>
      <c r="R7" s="55"/>
      <c r="S7" s="55"/>
      <c r="T7" s="55"/>
      <c r="U7" s="55"/>
    </row>
    <row r="8" spans="1:27" ht="14.5">
      <c r="A8" s="53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5"/>
      <c r="P8" s="55"/>
      <c r="Q8" s="58"/>
      <c r="R8" s="58"/>
      <c r="S8" s="58"/>
      <c r="T8" s="55"/>
      <c r="U8" s="55"/>
    </row>
    <row r="9" spans="1:27" ht="14.5">
      <c r="A9" s="53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5"/>
      <c r="P9" s="55"/>
      <c r="Q9" s="58"/>
      <c r="R9" s="58"/>
      <c r="S9" s="58"/>
      <c r="T9" s="55"/>
      <c r="U9" s="55"/>
    </row>
    <row r="10" spans="1:27" ht="14.5">
      <c r="A10" s="53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5"/>
      <c r="P10" s="55"/>
      <c r="Q10" s="55"/>
      <c r="R10" s="55"/>
      <c r="S10" s="55"/>
      <c r="U10" s="55"/>
    </row>
    <row r="11" spans="1:27" ht="17.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5"/>
      <c r="P11" s="55"/>
      <c r="Q11" s="55"/>
      <c r="R11" s="55"/>
      <c r="S11" s="55"/>
      <c r="T11" s="55"/>
      <c r="U11" s="55"/>
    </row>
    <row r="12" spans="1:27" ht="14.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6"/>
      <c r="P12" s="56"/>
      <c r="Q12" s="56"/>
      <c r="R12" s="56"/>
      <c r="S12" s="56"/>
      <c r="T12" s="56"/>
      <c r="U12" s="56"/>
    </row>
    <row r="13" spans="1:27" ht="14.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6"/>
      <c r="P13" s="56"/>
      <c r="Q13" s="56"/>
      <c r="R13" s="56"/>
      <c r="S13" s="56"/>
      <c r="T13" s="56"/>
      <c r="U13" s="56"/>
    </row>
  </sheetData>
  <mergeCells count="1">
    <mergeCell ref="A7:N7"/>
  </mergeCells>
  <phoneticPr fontId="64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S22"/>
  <sheetViews>
    <sheetView topLeftCell="A3" zoomScale="85" zoomScaleNormal="85" workbookViewId="0">
      <selection activeCell="K22" sqref="K22"/>
    </sheetView>
  </sheetViews>
  <sheetFormatPr defaultColWidth="9.08203125" defaultRowHeight="14"/>
  <cols>
    <col min="1" max="16384" width="9.08203125" style="18"/>
  </cols>
  <sheetData>
    <row r="1" spans="1:19">
      <c r="A1" s="302" t="s">
        <v>369</v>
      </c>
      <c r="B1" s="302" t="s">
        <v>369</v>
      </c>
      <c r="C1" s="302" t="s">
        <v>369</v>
      </c>
      <c r="D1" s="302" t="s">
        <v>369</v>
      </c>
      <c r="E1" s="302" t="s">
        <v>369</v>
      </c>
      <c r="F1" s="302" t="s">
        <v>369</v>
      </c>
      <c r="G1" s="302" t="s">
        <v>369</v>
      </c>
      <c r="H1" s="302" t="s">
        <v>369</v>
      </c>
      <c r="I1" s="302" t="s">
        <v>369</v>
      </c>
      <c r="J1" s="302" t="s">
        <v>369</v>
      </c>
      <c r="K1" s="302" t="s">
        <v>369</v>
      </c>
      <c r="L1" s="302" t="s">
        <v>369</v>
      </c>
      <c r="M1" s="302" t="s">
        <v>369</v>
      </c>
      <c r="N1" s="302" t="s">
        <v>369</v>
      </c>
      <c r="O1" s="302" t="s">
        <v>369</v>
      </c>
      <c r="P1" s="302" t="s">
        <v>369</v>
      </c>
      <c r="Q1" s="302" t="s">
        <v>369</v>
      </c>
      <c r="R1" s="302" t="s">
        <v>369</v>
      </c>
      <c r="S1" s="302" t="s">
        <v>369</v>
      </c>
    </row>
    <row r="2" spans="1:19">
      <c r="A2" s="18" t="s">
        <v>370</v>
      </c>
      <c r="B2" s="18" t="s">
        <v>371</v>
      </c>
      <c r="E2" s="18" t="s">
        <v>372</v>
      </c>
      <c r="F2" s="18" t="s">
        <v>373</v>
      </c>
      <c r="H2" s="18" t="s">
        <v>374</v>
      </c>
      <c r="I2" s="18" t="s">
        <v>375</v>
      </c>
    </row>
    <row r="3" spans="1:19" ht="52.5">
      <c r="A3" s="49" t="s">
        <v>376</v>
      </c>
      <c r="B3" s="49" t="s">
        <v>377</v>
      </c>
      <c r="C3" s="49" t="s">
        <v>378</v>
      </c>
      <c r="D3" s="49" t="s">
        <v>379</v>
      </c>
      <c r="E3" s="49" t="s">
        <v>380</v>
      </c>
      <c r="F3" s="49" t="s">
        <v>381</v>
      </c>
      <c r="G3" s="49" t="s">
        <v>382</v>
      </c>
      <c r="H3" s="49" t="s">
        <v>383</v>
      </c>
      <c r="I3" s="49" t="s">
        <v>384</v>
      </c>
      <c r="J3" s="49" t="s">
        <v>385</v>
      </c>
      <c r="K3" s="49" t="s">
        <v>386</v>
      </c>
      <c r="L3" s="49" t="s">
        <v>387</v>
      </c>
      <c r="M3" s="49" t="s">
        <v>388</v>
      </c>
      <c r="N3" s="49" t="s">
        <v>389</v>
      </c>
      <c r="O3" s="49" t="s">
        <v>390</v>
      </c>
      <c r="P3" s="49" t="s">
        <v>391</v>
      </c>
      <c r="Q3" s="49" t="s">
        <v>392</v>
      </c>
      <c r="R3" s="49" t="s">
        <v>393</v>
      </c>
      <c r="S3" s="49" t="s">
        <v>394</v>
      </c>
    </row>
    <row r="4" spans="1:19">
      <c r="A4" s="18" t="s">
        <v>395</v>
      </c>
      <c r="B4" s="18" t="s">
        <v>396</v>
      </c>
      <c r="C4" s="18" t="s">
        <v>397</v>
      </c>
      <c r="D4" s="18" t="s">
        <v>157</v>
      </c>
      <c r="E4" s="18" t="s">
        <v>398</v>
      </c>
      <c r="H4" s="18" t="s">
        <v>399</v>
      </c>
      <c r="I4" s="18" t="s">
        <v>400</v>
      </c>
      <c r="J4" s="18" t="s">
        <v>401</v>
      </c>
      <c r="K4" s="18">
        <v>5771.94</v>
      </c>
      <c r="L4" s="18">
        <v>346.32</v>
      </c>
      <c r="M4" s="18">
        <v>346.32</v>
      </c>
      <c r="N4" s="18" t="s">
        <v>402</v>
      </c>
      <c r="O4" s="18" t="s">
        <v>403</v>
      </c>
      <c r="P4" s="18" t="s">
        <v>404</v>
      </c>
      <c r="Q4" s="18" t="s">
        <v>405</v>
      </c>
      <c r="R4" s="18" t="s">
        <v>404</v>
      </c>
      <c r="S4" s="18" t="s">
        <v>406</v>
      </c>
    </row>
    <row r="5" spans="1:19">
      <c r="A5" s="18" t="s">
        <v>150</v>
      </c>
      <c r="B5" s="18" t="s">
        <v>396</v>
      </c>
      <c r="C5" s="18" t="s">
        <v>397</v>
      </c>
      <c r="D5" s="18" t="s">
        <v>157</v>
      </c>
      <c r="E5" s="18" t="s">
        <v>407</v>
      </c>
      <c r="H5" s="18" t="s">
        <v>408</v>
      </c>
      <c r="I5" s="18" t="s">
        <v>409</v>
      </c>
      <c r="J5" s="18" t="s">
        <v>410</v>
      </c>
      <c r="K5" s="18">
        <v>17051.68</v>
      </c>
      <c r="L5" s="18">
        <v>1023.1</v>
      </c>
      <c r="M5" s="18">
        <v>1023.1</v>
      </c>
      <c r="N5" s="18" t="s">
        <v>402</v>
      </c>
      <c r="O5" s="18" t="s">
        <v>403</v>
      </c>
      <c r="P5" s="18" t="s">
        <v>404</v>
      </c>
      <c r="Q5" s="18" t="s">
        <v>405</v>
      </c>
      <c r="R5" s="18" t="s">
        <v>404</v>
      </c>
      <c r="S5" s="18" t="s">
        <v>406</v>
      </c>
    </row>
    <row r="6" spans="1:19">
      <c r="A6" s="18" t="s">
        <v>411</v>
      </c>
      <c r="B6" s="18" t="s">
        <v>396</v>
      </c>
      <c r="C6" s="18" t="s">
        <v>397</v>
      </c>
      <c r="D6" s="18" t="s">
        <v>157</v>
      </c>
      <c r="E6" s="18" t="s">
        <v>412</v>
      </c>
      <c r="H6" s="18" t="s">
        <v>413</v>
      </c>
      <c r="I6" s="18" t="s">
        <v>409</v>
      </c>
      <c r="J6" s="18" t="s">
        <v>410</v>
      </c>
      <c r="K6" s="18">
        <v>192174.95</v>
      </c>
      <c r="L6" s="18">
        <v>11530.5</v>
      </c>
      <c r="M6" s="18">
        <v>11530.5</v>
      </c>
      <c r="N6" s="18" t="s">
        <v>402</v>
      </c>
      <c r="O6" s="18" t="s">
        <v>403</v>
      </c>
      <c r="P6" s="18" t="s">
        <v>404</v>
      </c>
      <c r="Q6" s="18" t="s">
        <v>405</v>
      </c>
      <c r="R6" s="18" t="s">
        <v>404</v>
      </c>
      <c r="S6" s="18" t="s">
        <v>406</v>
      </c>
    </row>
    <row r="7" spans="1:19">
      <c r="A7" s="18" t="s">
        <v>414</v>
      </c>
      <c r="B7" s="18" t="s">
        <v>396</v>
      </c>
      <c r="C7" s="18" t="s">
        <v>397</v>
      </c>
      <c r="D7" s="18" t="s">
        <v>157</v>
      </c>
      <c r="E7" s="18" t="s">
        <v>415</v>
      </c>
      <c r="H7" s="18" t="s">
        <v>416</v>
      </c>
      <c r="I7" s="18" t="s">
        <v>409</v>
      </c>
      <c r="J7" s="18" t="s">
        <v>410</v>
      </c>
      <c r="K7" s="18">
        <v>275680.65999999997</v>
      </c>
      <c r="L7" s="18">
        <v>16540.84</v>
      </c>
      <c r="M7" s="18">
        <v>16540.84</v>
      </c>
      <c r="N7" s="18" t="s">
        <v>402</v>
      </c>
      <c r="O7" s="18" t="s">
        <v>403</v>
      </c>
      <c r="P7" s="18" t="s">
        <v>404</v>
      </c>
      <c r="Q7" s="18" t="s">
        <v>405</v>
      </c>
      <c r="R7" s="18" t="s">
        <v>404</v>
      </c>
      <c r="S7" s="18" t="s">
        <v>406</v>
      </c>
    </row>
    <row r="8" spans="1:19">
      <c r="A8" s="18" t="s">
        <v>417</v>
      </c>
      <c r="B8" s="18" t="s">
        <v>396</v>
      </c>
      <c r="C8" s="18" t="s">
        <v>397</v>
      </c>
      <c r="D8" s="18" t="s">
        <v>157</v>
      </c>
      <c r="E8" s="18" t="s">
        <v>418</v>
      </c>
      <c r="H8" s="18" t="s">
        <v>419</v>
      </c>
      <c r="I8" s="18" t="s">
        <v>409</v>
      </c>
      <c r="J8" s="18" t="s">
        <v>410</v>
      </c>
      <c r="K8" s="18">
        <v>178195.28</v>
      </c>
      <c r="L8" s="18">
        <v>10691.72</v>
      </c>
      <c r="M8" s="18">
        <v>10691.72</v>
      </c>
      <c r="N8" s="18" t="s">
        <v>402</v>
      </c>
      <c r="O8" s="18" t="s">
        <v>403</v>
      </c>
      <c r="P8" s="18" t="s">
        <v>404</v>
      </c>
      <c r="Q8" s="18" t="s">
        <v>405</v>
      </c>
      <c r="R8" s="18" t="s">
        <v>404</v>
      </c>
      <c r="S8" s="18" t="s">
        <v>406</v>
      </c>
    </row>
    <row r="9" spans="1:19">
      <c r="A9" s="18" t="s">
        <v>420</v>
      </c>
      <c r="B9" s="18" t="s">
        <v>396</v>
      </c>
      <c r="C9" s="18" t="s">
        <v>397</v>
      </c>
      <c r="D9" s="18" t="s">
        <v>157</v>
      </c>
      <c r="E9" s="18" t="s">
        <v>421</v>
      </c>
      <c r="H9" s="18" t="s">
        <v>422</v>
      </c>
      <c r="I9" s="18" t="s">
        <v>423</v>
      </c>
      <c r="J9" s="18" t="s">
        <v>424</v>
      </c>
      <c r="K9" s="18">
        <v>78776.08</v>
      </c>
      <c r="L9" s="18">
        <v>4726.5600000000004</v>
      </c>
      <c r="M9" s="18">
        <v>4726.5600000000004</v>
      </c>
      <c r="N9" s="18" t="s">
        <v>402</v>
      </c>
      <c r="O9" s="18" t="s">
        <v>403</v>
      </c>
      <c r="P9" s="18" t="s">
        <v>404</v>
      </c>
      <c r="Q9" s="18" t="s">
        <v>405</v>
      </c>
      <c r="R9" s="18" t="s">
        <v>404</v>
      </c>
      <c r="S9" s="18" t="s">
        <v>406</v>
      </c>
    </row>
    <row r="10" spans="1:19">
      <c r="A10" s="18" t="s">
        <v>425</v>
      </c>
      <c r="B10" s="18" t="s">
        <v>396</v>
      </c>
      <c r="C10" s="18" t="s">
        <v>397</v>
      </c>
      <c r="D10" s="18" t="s">
        <v>157</v>
      </c>
      <c r="E10" s="18" t="s">
        <v>426</v>
      </c>
      <c r="H10" s="18" t="s">
        <v>427</v>
      </c>
      <c r="I10" s="18" t="s">
        <v>428</v>
      </c>
      <c r="J10" s="18" t="s">
        <v>429</v>
      </c>
      <c r="K10" s="18">
        <v>23158.41</v>
      </c>
      <c r="L10" s="18">
        <v>1389.5</v>
      </c>
      <c r="M10" s="18">
        <v>1389.5</v>
      </c>
      <c r="N10" s="18" t="s">
        <v>402</v>
      </c>
      <c r="O10" s="18" t="s">
        <v>403</v>
      </c>
      <c r="P10" s="18" t="s">
        <v>404</v>
      </c>
      <c r="Q10" s="18" t="s">
        <v>405</v>
      </c>
      <c r="R10" s="18" t="s">
        <v>404</v>
      </c>
      <c r="S10" s="18" t="s">
        <v>406</v>
      </c>
    </row>
    <row r="11" spans="1:19">
      <c r="A11" s="18" t="s">
        <v>430</v>
      </c>
      <c r="B11" s="18" t="s">
        <v>396</v>
      </c>
      <c r="C11" s="18" t="s">
        <v>397</v>
      </c>
      <c r="D11" s="18" t="s">
        <v>157</v>
      </c>
      <c r="E11" s="18" t="s">
        <v>431</v>
      </c>
      <c r="H11" s="18" t="s">
        <v>432</v>
      </c>
      <c r="I11" s="18" t="s">
        <v>428</v>
      </c>
      <c r="J11" s="18" t="s">
        <v>429</v>
      </c>
      <c r="K11" s="18">
        <v>37804</v>
      </c>
      <c r="L11" s="18">
        <v>2268.2399999999998</v>
      </c>
      <c r="M11" s="18">
        <v>2268.2399999999998</v>
      </c>
      <c r="N11" s="18" t="s">
        <v>402</v>
      </c>
      <c r="O11" s="18" t="s">
        <v>403</v>
      </c>
      <c r="P11" s="18" t="s">
        <v>404</v>
      </c>
      <c r="Q11" s="18" t="s">
        <v>405</v>
      </c>
      <c r="R11" s="18" t="s">
        <v>404</v>
      </c>
      <c r="S11" s="18" t="s">
        <v>406</v>
      </c>
    </row>
    <row r="12" spans="1:19">
      <c r="A12" s="18" t="s">
        <v>433</v>
      </c>
      <c r="B12" s="18" t="s">
        <v>396</v>
      </c>
      <c r="C12" s="18" t="s">
        <v>397</v>
      </c>
      <c r="D12" s="18" t="s">
        <v>157</v>
      </c>
      <c r="E12" s="18" t="s">
        <v>434</v>
      </c>
      <c r="H12" s="18" t="s">
        <v>432</v>
      </c>
      <c r="I12" s="18" t="s">
        <v>428</v>
      </c>
      <c r="J12" s="18" t="s">
        <v>429</v>
      </c>
      <c r="K12" s="18">
        <v>3897.6</v>
      </c>
      <c r="L12" s="18">
        <v>233.86</v>
      </c>
      <c r="M12" s="18">
        <v>233.86</v>
      </c>
      <c r="N12" s="18" t="s">
        <v>402</v>
      </c>
      <c r="O12" s="18" t="s">
        <v>403</v>
      </c>
      <c r="P12" s="18" t="s">
        <v>404</v>
      </c>
      <c r="Q12" s="18" t="s">
        <v>405</v>
      </c>
      <c r="R12" s="18" t="s">
        <v>404</v>
      </c>
      <c r="S12" s="18" t="s">
        <v>406</v>
      </c>
    </row>
    <row r="13" spans="1:19">
      <c r="A13" s="18" t="s">
        <v>435</v>
      </c>
      <c r="B13" s="18" t="s">
        <v>396</v>
      </c>
      <c r="C13" s="18" t="s">
        <v>436</v>
      </c>
      <c r="D13" s="18" t="s">
        <v>157</v>
      </c>
      <c r="F13" s="18" t="s">
        <v>437</v>
      </c>
      <c r="G13" s="18" t="s">
        <v>210</v>
      </c>
      <c r="H13" s="18" t="s">
        <v>438</v>
      </c>
      <c r="I13" s="18" t="s">
        <v>439</v>
      </c>
      <c r="J13" s="18" t="s">
        <v>440</v>
      </c>
      <c r="K13" s="18">
        <v>817193.81</v>
      </c>
      <c r="L13" s="18">
        <v>49031.62</v>
      </c>
      <c r="M13" s="18">
        <v>49031.62</v>
      </c>
      <c r="N13" s="18" t="s">
        <v>403</v>
      </c>
      <c r="O13" s="18" t="s">
        <v>403</v>
      </c>
      <c r="P13" s="18" t="s">
        <v>404</v>
      </c>
      <c r="Q13" s="18" t="s">
        <v>405</v>
      </c>
      <c r="R13" s="18" t="s">
        <v>404</v>
      </c>
      <c r="S13" s="18" t="s">
        <v>406</v>
      </c>
    </row>
    <row r="14" spans="1:19">
      <c r="A14" s="18" t="s">
        <v>441</v>
      </c>
      <c r="B14" s="18" t="s">
        <v>396</v>
      </c>
      <c r="C14" s="18" t="s">
        <v>436</v>
      </c>
      <c r="D14" s="18" t="s">
        <v>157</v>
      </c>
      <c r="F14" s="18" t="s">
        <v>442</v>
      </c>
      <c r="G14" s="18" t="s">
        <v>190</v>
      </c>
      <c r="H14" s="18" t="s">
        <v>443</v>
      </c>
      <c r="I14" s="18" t="s">
        <v>444</v>
      </c>
      <c r="J14" s="18" t="s">
        <v>445</v>
      </c>
      <c r="K14" s="18">
        <v>8008.66</v>
      </c>
      <c r="L14" s="18">
        <v>1041.1300000000001</v>
      </c>
      <c r="M14" s="18">
        <v>1041.1300000000001</v>
      </c>
      <c r="N14" s="18" t="s">
        <v>403</v>
      </c>
      <c r="O14" s="18" t="s">
        <v>403</v>
      </c>
      <c r="P14" s="18" t="s">
        <v>404</v>
      </c>
      <c r="Q14" s="18" t="s">
        <v>405</v>
      </c>
      <c r="R14" s="18" t="s">
        <v>404</v>
      </c>
      <c r="S14" s="18" t="s">
        <v>406</v>
      </c>
    </row>
    <row r="15" spans="1:19">
      <c r="A15" s="18" t="s">
        <v>446</v>
      </c>
      <c r="B15" s="18" t="s">
        <v>396</v>
      </c>
      <c r="C15" s="18" t="s">
        <v>397</v>
      </c>
      <c r="D15" s="18" t="s">
        <v>157</v>
      </c>
      <c r="E15" s="18" t="s">
        <v>447</v>
      </c>
      <c r="H15" s="18" t="s">
        <v>448</v>
      </c>
      <c r="I15" s="18" t="s">
        <v>449</v>
      </c>
      <c r="J15" s="18" t="s">
        <v>450</v>
      </c>
      <c r="K15" s="18">
        <v>113514.53</v>
      </c>
      <c r="L15" s="18">
        <v>14756.89</v>
      </c>
      <c r="M15" s="18">
        <v>14756.89</v>
      </c>
      <c r="N15" s="18" t="s">
        <v>402</v>
      </c>
      <c r="O15" s="18" t="s">
        <v>403</v>
      </c>
      <c r="P15" s="18" t="s">
        <v>404</v>
      </c>
      <c r="Q15" s="18" t="s">
        <v>405</v>
      </c>
      <c r="R15" s="18" t="s">
        <v>404</v>
      </c>
      <c r="S15" s="18" t="s">
        <v>406</v>
      </c>
    </row>
    <row r="16" spans="1:19">
      <c r="A16" s="18" t="s">
        <v>451</v>
      </c>
      <c r="B16" s="18" t="s">
        <v>396</v>
      </c>
      <c r="C16" s="18" t="s">
        <v>397</v>
      </c>
      <c r="D16" s="18" t="s">
        <v>157</v>
      </c>
      <c r="E16" s="18" t="s">
        <v>452</v>
      </c>
      <c r="H16" s="18" t="s">
        <v>453</v>
      </c>
      <c r="I16" s="18" t="s">
        <v>449</v>
      </c>
      <c r="J16" s="18" t="s">
        <v>450</v>
      </c>
      <c r="K16" s="18">
        <v>156515.17000000001</v>
      </c>
      <c r="L16" s="18">
        <v>20346.97</v>
      </c>
      <c r="M16" s="18">
        <v>20346.97</v>
      </c>
      <c r="N16" s="18" t="s">
        <v>402</v>
      </c>
      <c r="O16" s="18" t="s">
        <v>403</v>
      </c>
      <c r="P16" s="18" t="s">
        <v>404</v>
      </c>
      <c r="Q16" s="18" t="s">
        <v>405</v>
      </c>
      <c r="R16" s="18" t="s">
        <v>404</v>
      </c>
      <c r="S16" s="18" t="s">
        <v>406</v>
      </c>
    </row>
    <row r="17" spans="1:19">
      <c r="A17" s="18" t="s">
        <v>454</v>
      </c>
      <c r="B17" s="18" t="s">
        <v>396</v>
      </c>
      <c r="C17" s="18" t="s">
        <v>397</v>
      </c>
      <c r="D17" s="18" t="s">
        <v>157</v>
      </c>
      <c r="E17" s="18" t="s">
        <v>455</v>
      </c>
      <c r="H17" s="18" t="s">
        <v>456</v>
      </c>
      <c r="I17" s="18" t="s">
        <v>449</v>
      </c>
      <c r="J17" s="18" t="s">
        <v>450</v>
      </c>
      <c r="K17" s="18">
        <v>37141.58</v>
      </c>
      <c r="L17" s="18">
        <v>4828.3999999999996</v>
      </c>
      <c r="M17" s="18">
        <v>4828.3999999999996</v>
      </c>
      <c r="N17" s="18" t="s">
        <v>402</v>
      </c>
      <c r="O17" s="18" t="s">
        <v>403</v>
      </c>
      <c r="P17" s="18" t="s">
        <v>404</v>
      </c>
      <c r="Q17" s="18" t="s">
        <v>405</v>
      </c>
      <c r="R17" s="18" t="s">
        <v>404</v>
      </c>
      <c r="S17" s="18" t="s">
        <v>406</v>
      </c>
    </row>
    <row r="18" spans="1:19">
      <c r="A18" s="18" t="s">
        <v>457</v>
      </c>
      <c r="B18" s="18" t="s">
        <v>396</v>
      </c>
      <c r="C18" s="18" t="s">
        <v>397</v>
      </c>
      <c r="D18" s="18" t="s">
        <v>157</v>
      </c>
      <c r="E18" s="18" t="s">
        <v>458</v>
      </c>
      <c r="H18" s="18" t="s">
        <v>459</v>
      </c>
      <c r="I18" s="18" t="s">
        <v>449</v>
      </c>
      <c r="J18" s="18" t="s">
        <v>450</v>
      </c>
      <c r="K18" s="18">
        <v>16735.27</v>
      </c>
      <c r="L18" s="18">
        <v>2175.59</v>
      </c>
      <c r="M18" s="18">
        <v>2175.59</v>
      </c>
      <c r="N18" s="18" t="s">
        <v>402</v>
      </c>
      <c r="O18" s="18" t="s">
        <v>403</v>
      </c>
      <c r="P18" s="18" t="s">
        <v>404</v>
      </c>
      <c r="Q18" s="18" t="s">
        <v>405</v>
      </c>
      <c r="R18" s="18" t="s">
        <v>404</v>
      </c>
      <c r="S18" s="18" t="s">
        <v>406</v>
      </c>
    </row>
    <row r="19" spans="1:19">
      <c r="A19" s="18" t="s">
        <v>460</v>
      </c>
      <c r="B19" s="18" t="s">
        <v>396</v>
      </c>
      <c r="C19" s="18" t="s">
        <v>397</v>
      </c>
      <c r="D19" s="18" t="s">
        <v>157</v>
      </c>
      <c r="E19" s="18" t="s">
        <v>461</v>
      </c>
      <c r="H19" s="18" t="s">
        <v>462</v>
      </c>
      <c r="I19" s="18" t="s">
        <v>449</v>
      </c>
      <c r="J19" s="18" t="s">
        <v>450</v>
      </c>
      <c r="K19" s="18">
        <v>686.27</v>
      </c>
      <c r="L19" s="18">
        <v>89.21</v>
      </c>
      <c r="M19" s="18">
        <v>89.21</v>
      </c>
      <c r="N19" s="18" t="s">
        <v>402</v>
      </c>
      <c r="O19" s="18" t="s">
        <v>403</v>
      </c>
      <c r="P19" s="18" t="s">
        <v>404</v>
      </c>
      <c r="Q19" s="18" t="s">
        <v>405</v>
      </c>
      <c r="R19" s="18" t="s">
        <v>404</v>
      </c>
      <c r="S19" s="18" t="s">
        <v>406</v>
      </c>
    </row>
    <row r="20" spans="1:19">
      <c r="A20" s="18" t="s">
        <v>463</v>
      </c>
      <c r="B20" s="18" t="s">
        <v>396</v>
      </c>
      <c r="C20" s="18" t="s">
        <v>436</v>
      </c>
      <c r="D20" s="18" t="s">
        <v>157</v>
      </c>
      <c r="F20" s="18" t="s">
        <v>464</v>
      </c>
      <c r="G20" s="18" t="s">
        <v>215</v>
      </c>
      <c r="H20" s="18" t="s">
        <v>465</v>
      </c>
      <c r="I20" s="18" t="s">
        <v>466</v>
      </c>
      <c r="J20" s="18" t="s">
        <v>467</v>
      </c>
      <c r="K20" s="18">
        <v>7607.55</v>
      </c>
      <c r="L20" s="18">
        <v>456.45</v>
      </c>
      <c r="M20" s="18">
        <v>456.45</v>
      </c>
      <c r="N20" s="18" t="s">
        <v>403</v>
      </c>
      <c r="O20" s="18" t="s">
        <v>403</v>
      </c>
      <c r="P20" s="18" t="s">
        <v>404</v>
      </c>
      <c r="Q20" s="18" t="s">
        <v>405</v>
      </c>
      <c r="R20" s="18" t="s">
        <v>404</v>
      </c>
      <c r="S20" s="18" t="s">
        <v>406</v>
      </c>
    </row>
    <row r="21" spans="1:19">
      <c r="A21" s="18" t="s">
        <v>468</v>
      </c>
      <c r="B21" s="18" t="s">
        <v>396</v>
      </c>
      <c r="C21" s="18" t="s">
        <v>397</v>
      </c>
      <c r="D21" s="18" t="s">
        <v>157</v>
      </c>
      <c r="E21" s="18" t="s">
        <v>469</v>
      </c>
      <c r="H21" s="18" t="s">
        <v>470</v>
      </c>
      <c r="I21" s="18" t="s">
        <v>471</v>
      </c>
      <c r="J21" s="18" t="s">
        <v>472</v>
      </c>
      <c r="K21" s="18">
        <v>9178.76</v>
      </c>
      <c r="L21" s="18">
        <v>1193.24</v>
      </c>
      <c r="M21" s="18">
        <v>1193.24</v>
      </c>
      <c r="N21" s="18" t="s">
        <v>402</v>
      </c>
      <c r="O21" s="18" t="s">
        <v>403</v>
      </c>
      <c r="P21" s="18" t="s">
        <v>404</v>
      </c>
      <c r="Q21" s="18" t="s">
        <v>405</v>
      </c>
      <c r="R21" s="18" t="s">
        <v>404</v>
      </c>
      <c r="S21" s="18" t="s">
        <v>406</v>
      </c>
    </row>
    <row r="22" spans="1:19">
      <c r="A22" s="18" t="s">
        <v>473</v>
      </c>
      <c r="K22" s="50">
        <v>1979092.2</v>
      </c>
      <c r="L22" s="50">
        <v>142670.14000000001</v>
      </c>
      <c r="M22" s="50">
        <v>142670.14000000001</v>
      </c>
    </row>
  </sheetData>
  <mergeCells count="1">
    <mergeCell ref="A1:S1"/>
  </mergeCells>
  <phoneticPr fontId="64" type="noConversion"/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0.59999389629810485"/>
  </sheetPr>
  <dimension ref="B1:K42"/>
  <sheetViews>
    <sheetView zoomScale="85" zoomScaleNormal="85" workbookViewId="0">
      <selection activeCell="H27" sqref="H27"/>
    </sheetView>
  </sheetViews>
  <sheetFormatPr defaultColWidth="9" defaultRowHeight="14"/>
  <cols>
    <col min="2" max="2" width="29.08203125" customWidth="1"/>
    <col min="3" max="3" width="12.58203125" style="33" customWidth="1"/>
    <col min="4" max="4" width="14" style="33" customWidth="1"/>
    <col min="5" max="5" width="15" style="33" customWidth="1"/>
    <col min="6" max="6" width="15.08203125" style="33" customWidth="1"/>
    <col min="7" max="7" width="13.75"/>
    <col min="8" max="8" width="18.83203125" customWidth="1"/>
    <col min="10" max="10" width="10.5"/>
    <col min="11" max="11" width="17.33203125" customWidth="1"/>
    <col min="12" max="12" width="12.6640625"/>
  </cols>
  <sheetData>
    <row r="1" spans="2:8">
      <c r="B1" s="34"/>
      <c r="C1" s="35" t="s">
        <v>474</v>
      </c>
      <c r="D1" s="35" t="s">
        <v>475</v>
      </c>
      <c r="E1" s="35" t="s">
        <v>476</v>
      </c>
      <c r="F1" s="36" t="s">
        <v>473</v>
      </c>
    </row>
    <row r="2" spans="2:8">
      <c r="B2" s="37" t="s">
        <v>477</v>
      </c>
      <c r="C2" s="38">
        <f>'02月PL'!I38-D2-E2</f>
        <v>75907.570000000007</v>
      </c>
      <c r="D2" s="38">
        <f>'Ref 2_202502 增值税销项 （样式）'!Q8</f>
        <v>0</v>
      </c>
      <c r="E2" s="39">
        <v>0</v>
      </c>
      <c r="F2" s="40">
        <f>C2+D2+E2</f>
        <v>75907.570000000007</v>
      </c>
    </row>
    <row r="3" spans="2:8">
      <c r="B3" s="37" t="s">
        <v>478</v>
      </c>
      <c r="C3" s="38">
        <f>'02月PL'!I39-D3-E3</f>
        <v>15809449.18</v>
      </c>
      <c r="D3" s="38">
        <f>'Ref 2_202502 增值税销项 （样式）'!Q9</f>
        <v>0</v>
      </c>
      <c r="E3" s="39"/>
      <c r="F3" s="40">
        <f>C3+D3+E3</f>
        <v>15809449.18</v>
      </c>
    </row>
    <row r="4" spans="2:8">
      <c r="B4" s="41" t="s">
        <v>479</v>
      </c>
      <c r="C4" s="42"/>
      <c r="D4" s="43"/>
      <c r="E4" s="43"/>
      <c r="F4" s="43">
        <f t="shared" ref="F4:F10" si="0">C4+D4+E4</f>
        <v>0</v>
      </c>
    </row>
    <row r="5" spans="2:8">
      <c r="B5" s="41" t="s">
        <v>480</v>
      </c>
      <c r="C5" s="44"/>
      <c r="D5" s="43"/>
      <c r="E5" s="43"/>
      <c r="F5" s="43">
        <f t="shared" si="0"/>
        <v>0</v>
      </c>
    </row>
    <row r="6" spans="2:8">
      <c r="B6" s="41" t="s">
        <v>481</v>
      </c>
      <c r="C6" s="44"/>
      <c r="D6" s="43"/>
      <c r="E6" s="43"/>
      <c r="F6" s="43">
        <f t="shared" si="0"/>
        <v>0</v>
      </c>
    </row>
    <row r="7" spans="2:8">
      <c r="B7" s="45"/>
      <c r="C7" s="44"/>
      <c r="D7" s="43"/>
      <c r="E7" s="43"/>
      <c r="F7" s="43">
        <f t="shared" si="0"/>
        <v>0</v>
      </c>
    </row>
    <row r="8" spans="2:8">
      <c r="B8" s="41" t="s">
        <v>482</v>
      </c>
      <c r="C8" s="40">
        <v>9867.98</v>
      </c>
      <c r="D8" s="40">
        <f>'Ref 2_202502 增值税销项 （样式）'!S8</f>
        <v>0</v>
      </c>
      <c r="E8" s="40">
        <f t="shared" ref="E8:E9" si="1">E2*13%+E4*2%+E5*6%+E6*6%</f>
        <v>0</v>
      </c>
      <c r="F8" s="40">
        <f>'02月PL'!J38</f>
        <v>9867.98</v>
      </c>
    </row>
    <row r="9" spans="2:8">
      <c r="B9" s="41" t="s">
        <v>483</v>
      </c>
      <c r="C9" s="40">
        <v>2055228.4</v>
      </c>
      <c r="D9" s="40">
        <f>'Ref 2_202502 增值税销项 （样式）'!S9</f>
        <v>0</v>
      </c>
      <c r="E9" s="40">
        <f t="shared" si="1"/>
        <v>0</v>
      </c>
      <c r="F9" s="40">
        <f>'02月PL'!J39</f>
        <v>2055228.4</v>
      </c>
    </row>
    <row r="10" spans="2:8">
      <c r="B10" s="37" t="s">
        <v>484</v>
      </c>
      <c r="C10" s="40"/>
      <c r="D10" s="43"/>
      <c r="E10" s="43"/>
      <c r="F10" s="40">
        <f t="shared" si="0"/>
        <v>0</v>
      </c>
    </row>
    <row r="11" spans="2:8">
      <c r="B11" s="41" t="s">
        <v>485</v>
      </c>
      <c r="C11" s="40"/>
      <c r="D11" s="43"/>
      <c r="E11" s="43"/>
      <c r="F11" s="40">
        <f>'Ref 3_202502 增值税进项认证清单'!L88</f>
        <v>0</v>
      </c>
      <c r="H11" s="33"/>
    </row>
    <row r="12" spans="2:8">
      <c r="B12" s="41" t="s">
        <v>486</v>
      </c>
      <c r="C12" s="40"/>
      <c r="D12" s="43"/>
      <c r="E12" s="43"/>
      <c r="F12" s="40">
        <f>'Ref 3_202502 增值税进项认证清单'!L22</f>
        <v>142670.14000000001</v>
      </c>
      <c r="H12" s="33"/>
    </row>
    <row r="13" spans="2:8">
      <c r="B13" s="46" t="s">
        <v>487</v>
      </c>
      <c r="C13" s="40"/>
      <c r="D13" s="43"/>
      <c r="E13" s="43"/>
      <c r="F13" s="40"/>
      <c r="H13" s="33"/>
    </row>
    <row r="14" spans="2:8">
      <c r="B14" s="46" t="s">
        <v>488</v>
      </c>
      <c r="C14" s="40"/>
      <c r="D14" s="43"/>
      <c r="E14" s="43"/>
      <c r="F14" s="40"/>
      <c r="H14" s="33"/>
    </row>
    <row r="15" spans="2:8">
      <c r="B15" s="46" t="s">
        <v>489</v>
      </c>
      <c r="C15" s="40"/>
      <c r="D15" s="43"/>
      <c r="E15" s="43"/>
      <c r="F15" s="47">
        <v>2219434.04</v>
      </c>
      <c r="G15" s="269" t="s">
        <v>535</v>
      </c>
      <c r="H15" s="33"/>
    </row>
    <row r="16" spans="2:8">
      <c r="B16" s="46" t="s">
        <v>490</v>
      </c>
      <c r="C16" s="40"/>
      <c r="D16" s="43"/>
      <c r="E16" s="43"/>
      <c r="F16" s="47">
        <v>190263351.30000001</v>
      </c>
      <c r="G16" s="269" t="s">
        <v>535</v>
      </c>
      <c r="H16" s="33"/>
    </row>
    <row r="17" spans="2:7">
      <c r="B17" s="46" t="s">
        <v>491</v>
      </c>
      <c r="C17" s="40"/>
      <c r="D17" s="40"/>
      <c r="E17" s="40"/>
      <c r="F17" s="40">
        <f>IF(F8-(F11+F15-F13)&gt;0,0,ABS(F8-(F11+F15-F13)))</f>
        <v>2209566.06</v>
      </c>
      <c r="G17" s="269" t="s">
        <v>536</v>
      </c>
    </row>
    <row r="18" spans="2:7">
      <c r="B18" s="46" t="s">
        <v>492</v>
      </c>
      <c r="C18" s="40"/>
      <c r="D18" s="40"/>
      <c r="E18" s="40"/>
      <c r="F18" s="40">
        <f>IF(F9-(F12+F16-F14)&gt;0,0,ABS(F9-(F12+F16-F14)))</f>
        <v>188350793.03999999</v>
      </c>
      <c r="G18" s="269" t="s">
        <v>536</v>
      </c>
    </row>
    <row r="19" spans="2:7">
      <c r="B19" s="46" t="s">
        <v>493</v>
      </c>
      <c r="C19" s="40"/>
      <c r="D19" s="40"/>
      <c r="E19" s="40"/>
      <c r="F19" s="40"/>
    </row>
    <row r="20" spans="2:7">
      <c r="B20" s="46" t="s">
        <v>494</v>
      </c>
      <c r="C20" s="43"/>
      <c r="D20" s="43"/>
      <c r="E20" s="43"/>
      <c r="F20" s="43">
        <f>IF(F17&gt;0,0,F8+F13-F11-F15)</f>
        <v>0</v>
      </c>
    </row>
    <row r="38" spans="11:11">
      <c r="K38" s="48"/>
    </row>
    <row r="39" spans="11:11">
      <c r="K39" s="48"/>
    </row>
    <row r="42" spans="11:11">
      <c r="K42" s="48"/>
    </row>
  </sheetData>
  <phoneticPr fontId="64" type="noConversion"/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19"/>
  <sheetViews>
    <sheetView tabSelected="1" workbookViewId="0">
      <selection activeCell="L8" sqref="L8"/>
    </sheetView>
  </sheetViews>
  <sheetFormatPr defaultColWidth="9" defaultRowHeight="14"/>
  <cols>
    <col min="1" max="1" width="9" style="18"/>
    <col min="2" max="2" width="18.4140625" style="18" customWidth="1"/>
    <col min="3" max="4" width="9" style="18"/>
    <col min="5" max="5" width="11.9140625" style="18" customWidth="1"/>
    <col min="6" max="6" width="20.5" style="18" customWidth="1"/>
    <col min="7" max="7" width="21.25" style="18" customWidth="1"/>
    <col min="8" max="8" width="14.25" style="18" customWidth="1"/>
    <col min="9" max="9" width="12.6640625" style="18" customWidth="1"/>
    <col min="10" max="16384" width="9" style="18"/>
  </cols>
  <sheetData>
    <row r="1" spans="1:9">
      <c r="A1" s="305" t="s">
        <v>495</v>
      </c>
      <c r="B1" s="303" t="s">
        <v>496</v>
      </c>
      <c r="C1" s="303"/>
      <c r="D1" s="303"/>
      <c r="E1" s="303"/>
      <c r="F1" s="303" t="s">
        <v>497</v>
      </c>
      <c r="G1" s="303"/>
      <c r="H1" s="303" t="s">
        <v>498</v>
      </c>
      <c r="I1" s="304"/>
    </row>
    <row r="2" spans="1:9">
      <c r="A2" s="306"/>
      <c r="B2" s="19" t="s">
        <v>499</v>
      </c>
      <c r="C2" s="19" t="s">
        <v>319</v>
      </c>
      <c r="D2" s="19" t="s">
        <v>105</v>
      </c>
      <c r="E2" s="19" t="s">
        <v>500</v>
      </c>
      <c r="F2" s="19" t="s">
        <v>501</v>
      </c>
      <c r="G2" s="19" t="s">
        <v>500</v>
      </c>
      <c r="H2" s="19" t="s">
        <v>501</v>
      </c>
      <c r="I2" s="30" t="s">
        <v>500</v>
      </c>
    </row>
    <row r="3" spans="1:9" ht="112">
      <c r="A3" s="267"/>
      <c r="B3" s="313" t="s">
        <v>537</v>
      </c>
      <c r="C3" s="310" t="s">
        <v>538</v>
      </c>
      <c r="D3" s="310" t="s">
        <v>538</v>
      </c>
      <c r="E3" s="313" t="s">
        <v>539</v>
      </c>
      <c r="F3" s="313" t="s">
        <v>540</v>
      </c>
      <c r="G3" s="313" t="s">
        <v>541</v>
      </c>
      <c r="H3" s="315" t="s">
        <v>543</v>
      </c>
      <c r="I3" s="314" t="s">
        <v>542</v>
      </c>
    </row>
    <row r="4" spans="1:9">
      <c r="A4" s="20" t="s">
        <v>502</v>
      </c>
      <c r="B4" s="21">
        <v>18613556.690000001</v>
      </c>
      <c r="C4" s="311"/>
      <c r="D4" s="311"/>
      <c r="E4" s="311">
        <v>2419762.38</v>
      </c>
      <c r="F4" s="311"/>
      <c r="G4" s="311"/>
      <c r="H4" s="311">
        <f>B4+C4+D4-F4</f>
        <v>18613556.690000001</v>
      </c>
      <c r="I4" s="312">
        <f t="shared" ref="I4:I15" si="0">E4-G4</f>
        <v>2419762.38</v>
      </c>
    </row>
    <row r="5" spans="1:9">
      <c r="A5" s="23" t="s">
        <v>503</v>
      </c>
      <c r="B5" s="22">
        <v>15885356.75</v>
      </c>
      <c r="C5" s="22"/>
      <c r="D5" s="22"/>
      <c r="E5" s="22">
        <v>2065096.38</v>
      </c>
      <c r="F5" s="22"/>
      <c r="G5" s="22"/>
      <c r="H5" s="22">
        <f t="shared" ref="H4:H15" si="1">B5+C5+D5-F5</f>
        <v>15885356.75</v>
      </c>
      <c r="I5" s="31">
        <f t="shared" si="0"/>
        <v>2065096.38</v>
      </c>
    </row>
    <row r="6" spans="1:9">
      <c r="A6" s="20" t="s">
        <v>504</v>
      </c>
      <c r="B6" s="22"/>
      <c r="C6" s="22"/>
      <c r="D6" s="22"/>
      <c r="E6" s="22"/>
      <c r="F6" s="22"/>
      <c r="G6" s="22"/>
      <c r="H6" s="22">
        <f t="shared" si="1"/>
        <v>0</v>
      </c>
      <c r="I6" s="31">
        <f t="shared" si="0"/>
        <v>0</v>
      </c>
    </row>
    <row r="7" spans="1:9">
      <c r="A7" s="23" t="s">
        <v>505</v>
      </c>
      <c r="B7" s="22"/>
      <c r="C7" s="22"/>
      <c r="D7" s="22"/>
      <c r="E7" s="22"/>
      <c r="F7" s="22"/>
      <c r="G7" s="22"/>
      <c r="H7" s="22">
        <f t="shared" si="1"/>
        <v>0</v>
      </c>
      <c r="I7" s="31">
        <f t="shared" si="0"/>
        <v>0</v>
      </c>
    </row>
    <row r="8" spans="1:9">
      <c r="A8" s="20" t="s">
        <v>506</v>
      </c>
      <c r="B8" s="22"/>
      <c r="C8" s="22"/>
      <c r="D8" s="22"/>
      <c r="E8" s="22"/>
      <c r="F8" s="22"/>
      <c r="G8" s="22"/>
      <c r="H8" s="22">
        <f t="shared" si="1"/>
        <v>0</v>
      </c>
      <c r="I8" s="31">
        <f t="shared" si="0"/>
        <v>0</v>
      </c>
    </row>
    <row r="9" spans="1:9">
      <c r="A9" s="23" t="s">
        <v>507</v>
      </c>
      <c r="B9" s="24"/>
      <c r="C9" s="22"/>
      <c r="D9" s="22"/>
      <c r="E9" s="22"/>
      <c r="F9" s="22"/>
      <c r="G9" s="22"/>
      <c r="H9" s="22">
        <f t="shared" si="1"/>
        <v>0</v>
      </c>
      <c r="I9" s="31">
        <f t="shared" si="0"/>
        <v>0</v>
      </c>
    </row>
    <row r="10" spans="1:9">
      <c r="A10" s="20" t="s">
        <v>508</v>
      </c>
      <c r="B10" s="22"/>
      <c r="C10" s="22"/>
      <c r="D10" s="22"/>
      <c r="E10" s="25"/>
      <c r="F10" s="22"/>
      <c r="G10" s="22"/>
      <c r="H10" s="22">
        <f t="shared" si="1"/>
        <v>0</v>
      </c>
      <c r="I10" s="31">
        <f t="shared" si="0"/>
        <v>0</v>
      </c>
    </row>
    <row r="11" spans="1:9">
      <c r="A11" s="23" t="s">
        <v>509</v>
      </c>
      <c r="B11" s="22"/>
      <c r="C11" s="22"/>
      <c r="D11" s="22"/>
      <c r="E11" s="22"/>
      <c r="F11" s="26"/>
      <c r="H11" s="22">
        <f t="shared" ref="H11" si="2">B11+C11+D11-F11</f>
        <v>0</v>
      </c>
      <c r="I11" s="31">
        <f t="shared" ref="I11" si="3">E11-G11</f>
        <v>0</v>
      </c>
    </row>
    <row r="12" spans="1:9">
      <c r="A12" s="20" t="s">
        <v>510</v>
      </c>
      <c r="B12" s="22"/>
      <c r="C12" s="22"/>
      <c r="D12" s="22"/>
      <c r="E12" s="22"/>
      <c r="F12" s="22"/>
      <c r="G12" s="22"/>
      <c r="H12" s="22">
        <f t="shared" si="1"/>
        <v>0</v>
      </c>
      <c r="I12" s="31">
        <f t="shared" si="0"/>
        <v>0</v>
      </c>
    </row>
    <row r="13" spans="1:9">
      <c r="A13" s="23" t="s">
        <v>511</v>
      </c>
      <c r="B13" s="22"/>
      <c r="C13" s="22"/>
      <c r="D13" s="22"/>
      <c r="E13" s="27"/>
      <c r="F13" s="22"/>
      <c r="G13" s="22"/>
      <c r="H13" s="22">
        <f t="shared" si="1"/>
        <v>0</v>
      </c>
      <c r="I13" s="31">
        <f t="shared" si="0"/>
        <v>0</v>
      </c>
    </row>
    <row r="14" spans="1:9">
      <c r="A14" s="20" t="s">
        <v>512</v>
      </c>
      <c r="B14" s="22"/>
      <c r="C14" s="22"/>
      <c r="D14" s="22"/>
      <c r="E14" s="22"/>
      <c r="F14" s="22"/>
      <c r="G14" s="22"/>
      <c r="H14" s="22">
        <f t="shared" si="1"/>
        <v>0</v>
      </c>
      <c r="I14" s="31">
        <f t="shared" si="0"/>
        <v>0</v>
      </c>
    </row>
    <row r="15" spans="1:9">
      <c r="A15" s="23" t="s">
        <v>513</v>
      </c>
      <c r="B15" s="22"/>
      <c r="C15" s="22"/>
      <c r="D15" s="22"/>
      <c r="E15" s="22"/>
      <c r="F15" s="27"/>
      <c r="G15" s="27"/>
      <c r="H15" s="22">
        <f t="shared" si="1"/>
        <v>0</v>
      </c>
      <c r="I15" s="31">
        <f t="shared" si="0"/>
        <v>0</v>
      </c>
    </row>
    <row r="16" spans="1:9">
      <c r="A16" s="28" t="s">
        <v>514</v>
      </c>
      <c r="B16" s="29">
        <f t="shared" ref="B16:I16" si="4">SUM(B4:B15)</f>
        <v>34498913.439999998</v>
      </c>
      <c r="C16" s="29">
        <f t="shared" si="4"/>
        <v>0</v>
      </c>
      <c r="D16" s="29">
        <f t="shared" si="4"/>
        <v>0</v>
      </c>
      <c r="E16" s="29">
        <f t="shared" si="4"/>
        <v>4484858.76</v>
      </c>
      <c r="F16" s="29">
        <f t="shared" si="4"/>
        <v>0</v>
      </c>
      <c r="G16" s="29">
        <f t="shared" si="4"/>
        <v>0</v>
      </c>
      <c r="H16" s="29">
        <f t="shared" si="4"/>
        <v>34498913.439999998</v>
      </c>
      <c r="I16" s="32">
        <f t="shared" si="4"/>
        <v>4484858.76</v>
      </c>
    </row>
    <row r="19" spans="5:5">
      <c r="E19" s="25"/>
    </row>
  </sheetData>
  <mergeCells count="4">
    <mergeCell ref="B1:E1"/>
    <mergeCell ref="F1:G1"/>
    <mergeCell ref="H1:I1"/>
    <mergeCell ref="A1:A2"/>
  </mergeCells>
  <phoneticPr fontId="6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1:P16"/>
  <sheetViews>
    <sheetView zoomScale="70" zoomScaleNormal="70" workbookViewId="0">
      <selection activeCell="N35" sqref="N35"/>
    </sheetView>
  </sheetViews>
  <sheetFormatPr defaultColWidth="9" defaultRowHeight="14"/>
  <cols>
    <col min="1" max="1" width="4.75" customWidth="1"/>
    <col min="2" max="2" width="21.4140625" customWidth="1"/>
    <col min="3" max="3" width="11.08203125" customWidth="1"/>
    <col min="6" max="6" width="9.75" customWidth="1"/>
    <col min="9" max="9" width="9" customWidth="1"/>
    <col min="10" max="10" width="11.1640625" customWidth="1"/>
    <col min="11" max="11" width="10.9140625" customWidth="1"/>
    <col min="13" max="13" width="10.75" customWidth="1"/>
    <col min="15" max="15" width="9.75" customWidth="1"/>
    <col min="16" max="16" width="11.08203125" customWidth="1"/>
  </cols>
  <sheetData>
    <row r="1" spans="2:16">
      <c r="B1" s="307" t="s">
        <v>515</v>
      </c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</row>
    <row r="2" spans="2:16" ht="14.5">
      <c r="B2" s="308" t="s">
        <v>375</v>
      </c>
      <c r="C2" s="309"/>
      <c r="D2" s="309"/>
      <c r="E2" s="2"/>
      <c r="F2" s="2"/>
      <c r="G2" s="2"/>
      <c r="H2" s="2"/>
      <c r="I2" s="2"/>
      <c r="J2" s="2"/>
      <c r="K2" s="2"/>
      <c r="L2" s="2"/>
      <c r="M2" s="2" t="s">
        <v>516</v>
      </c>
      <c r="N2" s="2"/>
      <c r="O2" s="2"/>
      <c r="P2" s="9" t="s">
        <v>517</v>
      </c>
    </row>
    <row r="3" spans="2:16" ht="14.5">
      <c r="B3" s="3" t="s">
        <v>495</v>
      </c>
      <c r="C3" s="3" t="s">
        <v>518</v>
      </c>
      <c r="D3" s="4" t="s">
        <v>519</v>
      </c>
      <c r="E3" s="4" t="s">
        <v>520</v>
      </c>
      <c r="F3" s="4" t="s">
        <v>521</v>
      </c>
      <c r="G3" s="4" t="s">
        <v>522</v>
      </c>
      <c r="H3" s="4" t="s">
        <v>523</v>
      </c>
      <c r="I3" s="4" t="s">
        <v>355</v>
      </c>
      <c r="J3" s="4" t="s">
        <v>364</v>
      </c>
      <c r="K3" s="4" t="s">
        <v>524</v>
      </c>
      <c r="L3" s="4" t="s">
        <v>525</v>
      </c>
      <c r="M3" s="4" t="s">
        <v>526</v>
      </c>
      <c r="N3" s="4" t="s">
        <v>527</v>
      </c>
      <c r="O3" s="4" t="s">
        <v>366</v>
      </c>
      <c r="P3" s="10" t="s">
        <v>528</v>
      </c>
    </row>
    <row r="4" spans="2:16" ht="14.5">
      <c r="B4" s="5">
        <v>45658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>
        <f>SUM(C4:O4)</f>
        <v>0</v>
      </c>
    </row>
    <row r="5" spans="2:16" ht="14.5">
      <c r="B5" s="5">
        <v>45689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f t="shared" ref="P5:P16" si="0">SUM(C5:O5)</f>
        <v>0</v>
      </c>
    </row>
    <row r="6" spans="2:16" ht="14.5">
      <c r="B6" s="5">
        <v>45717</v>
      </c>
      <c r="C6" s="7"/>
      <c r="D6" s="6"/>
      <c r="E6" s="6"/>
      <c r="F6" s="6"/>
      <c r="G6" s="6"/>
      <c r="H6" s="6"/>
      <c r="I6" s="6"/>
      <c r="J6" s="6"/>
      <c r="K6" s="6"/>
      <c r="L6" s="6"/>
      <c r="M6" s="6"/>
      <c r="O6" s="6"/>
      <c r="P6" s="6">
        <f t="shared" si="0"/>
        <v>0</v>
      </c>
    </row>
    <row r="7" spans="2:16" ht="14.5">
      <c r="B7" s="5">
        <v>45748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 t="shared" si="0"/>
        <v>0</v>
      </c>
    </row>
    <row r="8" spans="2:16" ht="14.5">
      <c r="B8" s="5">
        <v>45778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f t="shared" si="0"/>
        <v>0</v>
      </c>
    </row>
    <row r="9" spans="2:16" ht="14.5">
      <c r="B9" s="5">
        <v>45809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>
        <f t="shared" si="0"/>
        <v>0</v>
      </c>
    </row>
    <row r="10" spans="2:16" ht="14.5">
      <c r="B10" s="5">
        <v>45839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f t="shared" si="0"/>
        <v>0</v>
      </c>
    </row>
    <row r="11" spans="2:16" ht="14.5">
      <c r="B11" s="5">
        <v>45870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f t="shared" si="0"/>
        <v>0</v>
      </c>
    </row>
    <row r="12" spans="2:16" ht="14.5">
      <c r="B12" s="5">
        <v>45901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f t="shared" si="0"/>
        <v>0</v>
      </c>
    </row>
    <row r="13" spans="2:16" ht="14.5">
      <c r="B13" s="5">
        <v>45931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f t="shared" si="0"/>
        <v>0</v>
      </c>
    </row>
    <row r="14" spans="2:16" ht="14.5">
      <c r="B14" s="5">
        <v>45962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f t="shared" si="0"/>
        <v>0</v>
      </c>
    </row>
    <row r="15" spans="2:16" ht="14.5">
      <c r="B15" s="5">
        <v>45992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f t="shared" si="0"/>
        <v>0</v>
      </c>
    </row>
    <row r="16" spans="2:16" ht="14.5">
      <c r="B16" s="5" t="s">
        <v>473</v>
      </c>
      <c r="C16" s="6">
        <f>SUM(C4:C15)</f>
        <v>0</v>
      </c>
      <c r="D16" s="6">
        <f t="shared" ref="D16:O16" si="1">SUM(D4:D15)</f>
        <v>0</v>
      </c>
      <c r="E16" s="6">
        <f t="shared" si="1"/>
        <v>0</v>
      </c>
      <c r="F16" s="6">
        <f t="shared" si="1"/>
        <v>0</v>
      </c>
      <c r="G16" s="6">
        <f t="shared" si="1"/>
        <v>0</v>
      </c>
      <c r="H16" s="6">
        <f t="shared" si="1"/>
        <v>0</v>
      </c>
      <c r="I16" s="6">
        <f t="shared" si="1"/>
        <v>0</v>
      </c>
      <c r="J16" s="6">
        <f t="shared" si="1"/>
        <v>0</v>
      </c>
      <c r="K16" s="6">
        <f t="shared" si="1"/>
        <v>0</v>
      </c>
      <c r="L16" s="6">
        <f t="shared" si="1"/>
        <v>0</v>
      </c>
      <c r="M16" s="6">
        <f t="shared" si="1"/>
        <v>0</v>
      </c>
      <c r="N16" s="6">
        <f t="shared" si="1"/>
        <v>0</v>
      </c>
      <c r="O16" s="6">
        <f t="shared" si="1"/>
        <v>0</v>
      </c>
      <c r="P16" s="6">
        <f t="shared" si="0"/>
        <v>0</v>
      </c>
    </row>
  </sheetData>
  <mergeCells count="2">
    <mergeCell ref="B1:P1"/>
    <mergeCell ref="B2:D2"/>
  </mergeCells>
  <phoneticPr fontId="6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S16"/>
  <sheetViews>
    <sheetView zoomScale="70" zoomScaleNormal="70" workbookViewId="0">
      <selection activeCell="I26" sqref="I26"/>
    </sheetView>
  </sheetViews>
  <sheetFormatPr defaultColWidth="9" defaultRowHeight="14"/>
  <cols>
    <col min="1" max="1" width="4.75" customWidth="1"/>
    <col min="2" max="2" width="19.08203125" customWidth="1"/>
    <col min="3" max="3" width="10.58203125" customWidth="1"/>
    <col min="4" max="5" width="8.75" customWidth="1"/>
    <col min="6" max="6" width="9.75" customWidth="1"/>
    <col min="7" max="8" width="8.75" customWidth="1"/>
    <col min="9" max="9" width="10" customWidth="1"/>
    <col min="10" max="10" width="12.5" customWidth="1"/>
    <col min="11" max="11" width="10.75" customWidth="1"/>
    <col min="12" max="12" width="11.75" customWidth="1"/>
    <col min="13" max="13" width="11.58203125" customWidth="1"/>
    <col min="14" max="14" width="8.75" customWidth="1"/>
    <col min="15" max="15" width="9.75" customWidth="1"/>
    <col min="16" max="17" width="11.25" customWidth="1"/>
    <col min="18" max="18" width="10.08203125" customWidth="1"/>
    <col min="19" max="19" width="24.75" customWidth="1"/>
  </cols>
  <sheetData>
    <row r="1" spans="2:19" s="1" customFormat="1" ht="22.5" customHeight="1">
      <c r="B1" s="307" t="s">
        <v>529</v>
      </c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S1" s="12"/>
    </row>
    <row r="2" spans="2:19" s="1" customFormat="1" ht="18" customHeight="1">
      <c r="B2" s="308" t="s">
        <v>375</v>
      </c>
      <c r="C2" s="309"/>
      <c r="D2" s="309"/>
      <c r="E2" s="2"/>
      <c r="F2" s="2"/>
      <c r="G2" s="2"/>
      <c r="H2" s="2"/>
      <c r="I2" s="2"/>
      <c r="J2" s="2"/>
      <c r="K2" s="2"/>
      <c r="L2" s="2"/>
      <c r="M2" s="2" t="s">
        <v>516</v>
      </c>
      <c r="N2" s="2"/>
      <c r="O2" s="2"/>
      <c r="P2" s="9" t="s">
        <v>517</v>
      </c>
      <c r="S2" s="12"/>
    </row>
    <row r="3" spans="2:19" s="1" customFormat="1" ht="31.5" customHeight="1">
      <c r="B3" s="3" t="s">
        <v>495</v>
      </c>
      <c r="C3" s="3" t="s">
        <v>518</v>
      </c>
      <c r="D3" s="4" t="s">
        <v>519</v>
      </c>
      <c r="E3" s="4" t="s">
        <v>520</v>
      </c>
      <c r="F3" s="4" t="s">
        <v>521</v>
      </c>
      <c r="G3" s="4" t="s">
        <v>522</v>
      </c>
      <c r="H3" s="4" t="s">
        <v>523</v>
      </c>
      <c r="I3" s="4" t="s">
        <v>355</v>
      </c>
      <c r="J3" s="4" t="s">
        <v>364</v>
      </c>
      <c r="K3" s="4" t="s">
        <v>524</v>
      </c>
      <c r="L3" s="4" t="s">
        <v>525</v>
      </c>
      <c r="M3" s="4" t="s">
        <v>526</v>
      </c>
      <c r="N3" s="4" t="s">
        <v>527</v>
      </c>
      <c r="O3" s="4" t="s">
        <v>366</v>
      </c>
      <c r="P3" s="10" t="s">
        <v>530</v>
      </c>
      <c r="Q3" s="13" t="s">
        <v>531</v>
      </c>
      <c r="R3" s="13" t="s">
        <v>532</v>
      </c>
      <c r="S3" s="14" t="s">
        <v>533</v>
      </c>
    </row>
    <row r="4" spans="2:19" s="1" customFormat="1" ht="14.5">
      <c r="B4" s="5">
        <v>45658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>
        <f>SUM(C4:O4)</f>
        <v>0</v>
      </c>
      <c r="Q4" s="6">
        <f>伊金悦盛项目累计申报!P4</f>
        <v>0</v>
      </c>
      <c r="R4" s="6">
        <f>P4-Q4</f>
        <v>0</v>
      </c>
      <c r="S4" s="15"/>
    </row>
    <row r="5" spans="2:19" ht="14.5">
      <c r="B5" s="5">
        <v>45689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f>SUM(C5:O5)</f>
        <v>0</v>
      </c>
      <c r="Q5" s="6">
        <f>伊金悦盛项目累计申报!P5</f>
        <v>0</v>
      </c>
      <c r="R5" s="6">
        <f t="shared" ref="R5:R15" si="0">P5-Q5</f>
        <v>0</v>
      </c>
      <c r="S5" s="15"/>
    </row>
    <row r="6" spans="2:19" ht="14.5">
      <c r="B6" s="5">
        <v>45717</v>
      </c>
      <c r="C6" s="7"/>
      <c r="D6" s="6"/>
      <c r="E6" s="6"/>
      <c r="F6" s="6"/>
      <c r="G6" s="6"/>
      <c r="H6" s="6"/>
      <c r="I6" s="6"/>
      <c r="J6" s="6"/>
      <c r="K6" s="6"/>
      <c r="L6" s="6"/>
      <c r="M6" s="6"/>
      <c r="O6" s="6"/>
      <c r="P6" s="6">
        <f t="shared" ref="P6:P16" si="1">SUM(C6:O6)</f>
        <v>0</v>
      </c>
      <c r="Q6" s="6">
        <f>伊金悦盛项目累计申报!P6</f>
        <v>0</v>
      </c>
      <c r="R6" s="6">
        <f t="shared" si="0"/>
        <v>0</v>
      </c>
      <c r="S6" s="15"/>
    </row>
    <row r="7" spans="2:19" ht="14.5">
      <c r="B7" s="5">
        <v>45748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 t="shared" si="1"/>
        <v>0</v>
      </c>
      <c r="Q7" s="6">
        <f>伊金悦盛项目累计申报!P7</f>
        <v>0</v>
      </c>
      <c r="R7" s="6">
        <f t="shared" si="0"/>
        <v>0</v>
      </c>
      <c r="S7" s="15"/>
    </row>
    <row r="8" spans="2:19" ht="14.5">
      <c r="B8" s="5">
        <v>45778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f t="shared" si="1"/>
        <v>0</v>
      </c>
      <c r="Q8" s="6">
        <f>伊金悦盛项目累计申报!P8</f>
        <v>0</v>
      </c>
      <c r="R8" s="6">
        <f t="shared" si="0"/>
        <v>0</v>
      </c>
      <c r="S8" s="15"/>
    </row>
    <row r="9" spans="2:19" ht="14.5">
      <c r="B9" s="5">
        <v>45809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>
        <f t="shared" si="1"/>
        <v>0</v>
      </c>
      <c r="Q9" s="6">
        <f>伊金悦盛项目累计申报!P9</f>
        <v>0</v>
      </c>
      <c r="R9" s="6">
        <f t="shared" si="0"/>
        <v>0</v>
      </c>
      <c r="S9" s="16"/>
    </row>
    <row r="10" spans="2:19" ht="14.5">
      <c r="B10" s="5">
        <v>45839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f t="shared" si="1"/>
        <v>0</v>
      </c>
      <c r="Q10" s="6">
        <f>伊金悦盛项目累计申报!P10</f>
        <v>0</v>
      </c>
      <c r="R10" s="6">
        <f t="shared" si="0"/>
        <v>0</v>
      </c>
      <c r="S10" s="16"/>
    </row>
    <row r="11" spans="2:19" ht="14.5">
      <c r="B11" s="5">
        <v>45870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f t="shared" si="1"/>
        <v>0</v>
      </c>
      <c r="Q11" s="6">
        <f>伊金悦盛项目累计申报!P11</f>
        <v>0</v>
      </c>
      <c r="R11" s="6">
        <f t="shared" si="0"/>
        <v>0</v>
      </c>
      <c r="S11" s="16"/>
    </row>
    <row r="12" spans="2:19" ht="14.5">
      <c r="B12" s="5">
        <v>45901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f t="shared" si="1"/>
        <v>0</v>
      </c>
      <c r="Q12" s="6">
        <f>伊金悦盛项目累计申报!P12</f>
        <v>0</v>
      </c>
      <c r="R12" s="6">
        <f t="shared" si="0"/>
        <v>0</v>
      </c>
      <c r="S12" s="16"/>
    </row>
    <row r="13" spans="2:19" ht="14.5">
      <c r="B13" s="5">
        <v>45931</v>
      </c>
      <c r="C13" s="6"/>
      <c r="D13" s="6"/>
      <c r="E13" s="6"/>
      <c r="F13" s="6"/>
      <c r="G13" s="6"/>
      <c r="H13" s="6"/>
      <c r="I13" s="6"/>
      <c r="J13" s="6"/>
      <c r="K13" s="11"/>
      <c r="L13" s="6"/>
      <c r="M13" s="6"/>
      <c r="N13" s="6"/>
      <c r="O13" s="6"/>
      <c r="P13" s="6">
        <f t="shared" si="1"/>
        <v>0</v>
      </c>
      <c r="Q13" s="6">
        <f>伊金悦盛项目累计申报!P13</f>
        <v>0</v>
      </c>
      <c r="R13" s="6">
        <f t="shared" si="0"/>
        <v>0</v>
      </c>
      <c r="S13" s="16"/>
    </row>
    <row r="14" spans="2:19" ht="14.5">
      <c r="B14" s="5">
        <v>45962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f t="shared" si="1"/>
        <v>0</v>
      </c>
      <c r="Q14" s="6">
        <f>伊金悦盛项目累计申报!P14</f>
        <v>0</v>
      </c>
      <c r="R14" s="6">
        <f t="shared" si="0"/>
        <v>0</v>
      </c>
      <c r="S14" s="16"/>
    </row>
    <row r="15" spans="2:19" ht="14.5">
      <c r="B15" s="5">
        <v>45992</v>
      </c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f t="shared" si="1"/>
        <v>0</v>
      </c>
      <c r="Q15" s="6">
        <f>伊金悦盛项目累计申报!P15</f>
        <v>0</v>
      </c>
      <c r="R15" s="6">
        <f t="shared" si="0"/>
        <v>0</v>
      </c>
      <c r="S15" s="16"/>
    </row>
    <row r="16" spans="2:19" ht="14.5">
      <c r="B16" s="5" t="s">
        <v>473</v>
      </c>
      <c r="C16" s="6">
        <f>SUM(C4:C15)</f>
        <v>0</v>
      </c>
      <c r="D16" s="6">
        <f t="shared" ref="D16:R16" si="2">SUM(D4:D15)</f>
        <v>0</v>
      </c>
      <c r="E16" s="6">
        <f t="shared" si="2"/>
        <v>0</v>
      </c>
      <c r="F16" s="6">
        <f t="shared" si="2"/>
        <v>0</v>
      </c>
      <c r="G16" s="6">
        <f t="shared" si="2"/>
        <v>0</v>
      </c>
      <c r="H16" s="6">
        <f t="shared" si="2"/>
        <v>0</v>
      </c>
      <c r="I16" s="6">
        <f t="shared" si="2"/>
        <v>0</v>
      </c>
      <c r="J16" s="6">
        <f t="shared" si="2"/>
        <v>0</v>
      </c>
      <c r="K16" s="6">
        <f t="shared" si="2"/>
        <v>0</v>
      </c>
      <c r="L16" s="6">
        <f t="shared" si="2"/>
        <v>0</v>
      </c>
      <c r="M16" s="6">
        <f t="shared" si="2"/>
        <v>0</v>
      </c>
      <c r="N16" s="6">
        <f t="shared" si="2"/>
        <v>0</v>
      </c>
      <c r="O16" s="6">
        <f t="shared" si="2"/>
        <v>0</v>
      </c>
      <c r="P16" s="6">
        <f t="shared" si="1"/>
        <v>0</v>
      </c>
      <c r="Q16" s="6">
        <f t="shared" si="2"/>
        <v>0</v>
      </c>
      <c r="R16" s="6">
        <f t="shared" si="2"/>
        <v>0</v>
      </c>
      <c r="S16" s="17"/>
    </row>
  </sheetData>
  <mergeCells count="2">
    <mergeCell ref="B1:P1"/>
    <mergeCell ref="B2:D2"/>
  </mergeCells>
  <phoneticPr fontId="64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02月BS</vt:lpstr>
      <vt:lpstr>02月PL</vt:lpstr>
      <vt:lpstr>销项明细</vt:lpstr>
      <vt:lpstr>进项明细</vt:lpstr>
      <vt:lpstr>所得税明细</vt:lpstr>
      <vt:lpstr>印花税明细</vt:lpstr>
      <vt:lpstr>Ref 1_202502_Summary</vt:lpstr>
      <vt:lpstr>Ref 2_202502 增值税销项 （样式）</vt:lpstr>
      <vt:lpstr>Ref 3_202502 增值税进项认证清单</vt:lpstr>
      <vt:lpstr>Ref 4_202502 增值税变动表</vt:lpstr>
      <vt:lpstr>未开票数监控</vt:lpstr>
      <vt:lpstr>伊金悦盛项目累计申报</vt:lpstr>
      <vt:lpstr>伊金悦盛项目累计缴纳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Weimin Xie</dc:creator>
  <cp:lastModifiedBy>Yaozhi Hu(Outsourcing)</cp:lastModifiedBy>
  <cp:lastPrinted>2022-09-13T07:59:00Z</cp:lastPrinted>
  <dcterms:created xsi:type="dcterms:W3CDTF">2018-09-12T00:37:00Z</dcterms:created>
  <dcterms:modified xsi:type="dcterms:W3CDTF">2026-03-13T06:49:59Z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89BC290A5D4749E0BEC4EE2692F04E91_13</vt:lpwstr>
  </property>
  <property fmtid="{D5CDD505-2E9C-101B-9397-08002B2CF9AE}" pid="4" name="KSOReadingLayout">
    <vt:bool>true</vt:bool>
  </property>
</Properties>
</file>