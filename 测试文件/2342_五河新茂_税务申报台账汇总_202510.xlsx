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yaozhi.hu1\Desktop\景泰\需求相关\AI\税务申报数据整理\台账逻辑梳理\"/>
    </mc:Choice>
  </mc:AlternateContent>
  <xr:revisionPtr revIDLastSave="0" documentId="8_{CC605FFF-B922-4721-B909-C4013DD9AAB7}" xr6:coauthVersionLast="47" xr6:coauthVersionMax="47" xr10:uidLastSave="{00000000-0000-0000-0000-000000000000}"/>
  <bookViews>
    <workbookView xWindow="28680" yWindow="-120" windowWidth="29040" windowHeight="15840" tabRatio="864" activeTab="4" xr2:uid="{00000000-000D-0000-FFFF-FFFF00000000}"/>
  </bookViews>
  <sheets>
    <sheet name="10月BS" sheetId="51" r:id="rId1"/>
    <sheet name="10月PL" sheetId="52" r:id="rId2"/>
    <sheet name="销项明细" sheetId="55" r:id="rId3"/>
    <sheet name="进项明细" sheetId="56" r:id="rId4"/>
    <sheet name="所得税明细" sheetId="57" r:id="rId5"/>
    <sheet name="印花税明细" sheetId="58" r:id="rId6"/>
    <sheet name="Ref 1_202510_Summary" sheetId="26" r:id="rId7"/>
    <sheet name="Ref 2_202510增值税销项 （样式）" sheetId="45" r:id="rId8"/>
    <sheet name="Ref 3_202510增值税进项认证清单" sheetId="49" r:id="rId9"/>
    <sheet name="Ref 4_202510 增值税变动表" sheetId="50" r:id="rId10"/>
    <sheet name="未开票数监控" sheetId="59" r:id="rId11"/>
    <sheet name="五河新茂项目累计申报" sheetId="53" r:id="rId12"/>
    <sheet name="五河新茂项目累计缴纳" sheetId="54" r:id="rId13"/>
  </sheets>
  <definedNames>
    <definedName name="_epmOfflineCondition_" localSheetId="0">1</definedName>
    <definedName name="_epmOfflineCondition_" localSheetId="1">1</definedName>
    <definedName name="_xlnm._FilterDatabase" localSheetId="7" hidden="1">'Ref 2_202510增值税销项 （样式）'!#REF!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26" l="1"/>
  <c r="J24" i="26"/>
  <c r="J22" i="26"/>
  <c r="H22" i="26"/>
  <c r="E22" i="26"/>
  <c r="F9" i="50"/>
  <c r="K21" i="56"/>
  <c r="D123" i="52"/>
  <c r="D122" i="52"/>
  <c r="D121" i="52"/>
  <c r="D120" i="52"/>
  <c r="D119" i="52"/>
  <c r="D118" i="52"/>
  <c r="D117" i="52"/>
  <c r="D116" i="52"/>
  <c r="D115" i="52"/>
  <c r="D114" i="52"/>
  <c r="D113" i="52"/>
  <c r="D112" i="52"/>
  <c r="D111" i="52"/>
  <c r="D110" i="52"/>
  <c r="D109" i="52"/>
  <c r="D108" i="52"/>
  <c r="D107" i="52"/>
  <c r="D106" i="52"/>
  <c r="D105" i="52"/>
  <c r="D104" i="52"/>
  <c r="D103" i="52"/>
  <c r="F102" i="52"/>
  <c r="E102" i="52"/>
  <c r="D102" i="52"/>
  <c r="D101" i="52"/>
  <c r="D100" i="52"/>
  <c r="D99" i="52"/>
  <c r="A99" i="52"/>
  <c r="D98" i="52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R15" i="54"/>
  <c r="Q15" i="54"/>
  <c r="P15" i="54"/>
  <c r="R14" i="54"/>
  <c r="Q14" i="54"/>
  <c r="P14" i="54"/>
  <c r="R13" i="54"/>
  <c r="Q13" i="54"/>
  <c r="P13" i="54"/>
  <c r="R12" i="54"/>
  <c r="Q12" i="54"/>
  <c r="P12" i="54"/>
  <c r="R11" i="54"/>
  <c r="Q11" i="54"/>
  <c r="P11" i="54"/>
  <c r="R10" i="54"/>
  <c r="Q10" i="54"/>
  <c r="P10" i="54"/>
  <c r="R9" i="54"/>
  <c r="Q9" i="54"/>
  <c r="P9" i="54"/>
  <c r="R8" i="54"/>
  <c r="Q8" i="54"/>
  <c r="P8" i="54"/>
  <c r="R7" i="54"/>
  <c r="Q7" i="54"/>
  <c r="P7" i="54"/>
  <c r="R6" i="54"/>
  <c r="Q6" i="54"/>
  <c r="P6" i="54"/>
  <c r="R5" i="54"/>
  <c r="Q5" i="54"/>
  <c r="P5" i="54"/>
  <c r="R4" i="54"/>
  <c r="Q4" i="54"/>
  <c r="P4" i="54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P15" i="53"/>
  <c r="P14" i="53"/>
  <c r="P13" i="53"/>
  <c r="P12" i="53"/>
  <c r="P11" i="53"/>
  <c r="P10" i="53"/>
  <c r="P9" i="53"/>
  <c r="P8" i="53"/>
  <c r="P7" i="53"/>
  <c r="P6" i="53"/>
  <c r="P5" i="53"/>
  <c r="P4" i="53"/>
  <c r="I15" i="59"/>
  <c r="H15" i="59"/>
  <c r="G15" i="59"/>
  <c r="F15" i="59"/>
  <c r="E15" i="59"/>
  <c r="D15" i="59"/>
  <c r="C15" i="59"/>
  <c r="B15" i="59"/>
  <c r="I14" i="59"/>
  <c r="H14" i="59"/>
  <c r="I13" i="59"/>
  <c r="H13" i="59"/>
  <c r="I12" i="59"/>
  <c r="H12" i="59"/>
  <c r="I11" i="59"/>
  <c r="H11" i="59"/>
  <c r="I10" i="59"/>
  <c r="H10" i="59"/>
  <c r="I9" i="59"/>
  <c r="H9" i="59"/>
  <c r="I8" i="59"/>
  <c r="H8" i="59"/>
  <c r="I7" i="59"/>
  <c r="H7" i="59"/>
  <c r="I6" i="59"/>
  <c r="H6" i="59"/>
  <c r="I5" i="59"/>
  <c r="H5" i="59"/>
  <c r="I4" i="59"/>
  <c r="H4" i="59"/>
  <c r="I3" i="59"/>
  <c r="H3" i="59"/>
  <c r="F12" i="50"/>
  <c r="F8" i="50"/>
  <c r="F7" i="50"/>
  <c r="E7" i="50"/>
  <c r="D7" i="50"/>
  <c r="C7" i="50"/>
  <c r="F6" i="50"/>
  <c r="F5" i="50"/>
  <c r="F4" i="50"/>
  <c r="F3" i="50"/>
  <c r="F2" i="50"/>
  <c r="D2" i="50"/>
  <c r="J40" i="26"/>
  <c r="H39" i="26"/>
  <c r="H38" i="26"/>
  <c r="B38" i="26"/>
  <c r="K35" i="26"/>
  <c r="H35" i="26"/>
  <c r="H32" i="26"/>
  <c r="H31" i="26"/>
  <c r="H30" i="26"/>
  <c r="K29" i="26"/>
  <c r="H29" i="26"/>
  <c r="H28" i="26"/>
  <c r="G28" i="26"/>
  <c r="E28" i="26"/>
  <c r="H27" i="26"/>
  <c r="F27" i="26"/>
  <c r="H23" i="26"/>
  <c r="H21" i="26"/>
  <c r="E21" i="26"/>
  <c r="H20" i="26"/>
  <c r="E20" i="26"/>
  <c r="H19" i="26"/>
  <c r="E19" i="26"/>
  <c r="K18" i="26"/>
  <c r="J18" i="26"/>
  <c r="H18" i="26"/>
  <c r="E18" i="26"/>
  <c r="E16" i="26"/>
  <c r="H15" i="26"/>
  <c r="H14" i="26"/>
  <c r="H13" i="26"/>
  <c r="H12" i="26"/>
  <c r="H11" i="26"/>
  <c r="H10" i="26"/>
  <c r="H9" i="26"/>
  <c r="H8" i="26"/>
  <c r="H7" i="26"/>
  <c r="H6" i="26"/>
  <c r="H5" i="26"/>
  <c r="K4" i="26"/>
  <c r="J4" i="26"/>
  <c r="I4" i="26"/>
  <c r="H4" i="26"/>
  <c r="H16" i="26" s="1"/>
  <c r="D92" i="52"/>
  <c r="D91" i="52"/>
  <c r="D90" i="52"/>
  <c r="D89" i="52"/>
  <c r="D88" i="52"/>
  <c r="D87" i="52"/>
  <c r="D86" i="52"/>
  <c r="D85" i="52"/>
  <c r="D84" i="52"/>
  <c r="D83" i="52"/>
  <c r="D82" i="52"/>
  <c r="D81" i="52"/>
  <c r="D80" i="52"/>
  <c r="D79" i="52"/>
  <c r="D78" i="52"/>
  <c r="D77" i="52"/>
  <c r="D76" i="52"/>
  <c r="D75" i="52"/>
  <c r="D74" i="52"/>
  <c r="D73" i="52"/>
  <c r="D72" i="52"/>
  <c r="F71" i="52"/>
  <c r="E71" i="52"/>
  <c r="D71" i="52"/>
  <c r="D70" i="52"/>
  <c r="D69" i="52"/>
  <c r="D68" i="52"/>
  <c r="A68" i="52"/>
  <c r="D67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F40" i="52"/>
  <c r="E40" i="52"/>
  <c r="D40" i="52"/>
  <c r="D39" i="52"/>
  <c r="D38" i="52"/>
  <c r="D37" i="52"/>
  <c r="A37" i="52"/>
  <c r="D36" i="52"/>
  <c r="D30" i="52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F9" i="52"/>
  <c r="E9" i="52"/>
  <c r="D9" i="52"/>
  <c r="D8" i="52"/>
  <c r="D7" i="52"/>
  <c r="D6" i="52"/>
  <c r="A6" i="52"/>
  <c r="D5" i="52"/>
  <c r="F13" i="50" l="1"/>
  <c r="H24" i="26"/>
  <c r="K24" i="26" s="1"/>
  <c r="K22" i="26"/>
  <c r="H40" i="26"/>
  <c r="K1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</authors>
  <commentList>
    <comment ref="C4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047:</t>
        </r>
        <r>
          <rPr>
            <sz val="9"/>
            <rFont val="宋体"/>
            <family val="3"/>
            <charset val="134"/>
          </rPr>
          <t xml:space="preserve">
不含税计税</t>
        </r>
      </text>
    </comment>
  </commentList>
</comments>
</file>

<file path=xl/sharedStrings.xml><?xml version="1.0" encoding="utf-8"?>
<sst xmlns="http://schemas.openxmlformats.org/spreadsheetml/2006/main" count="1426" uniqueCount="480">
  <si>
    <t>资产负债表-单体</t>
  </si>
  <si>
    <t>编制单位：五河新茂风力发电有限公司</t>
  </si>
  <si>
    <t>编制时间：2025.07</t>
  </si>
  <si>
    <t>项目</t>
  </si>
  <si>
    <t>行</t>
  </si>
  <si>
    <t>年初数</t>
  </si>
  <si>
    <t>累计发生数</t>
  </si>
  <si>
    <t>流动资产：</t>
  </si>
  <si>
    <t>流动负债：</t>
  </si>
  <si>
    <t xml:space="preserve">    货币资金</t>
  </si>
  <si>
    <t xml:space="preserve">    短期借款</t>
  </si>
  <si>
    <t xml:space="preserve">    交易性金融资产</t>
  </si>
  <si>
    <t xml:space="preserve">    衍生金融负债</t>
  </si>
  <si>
    <t xml:space="preserve">    衍生金融资产</t>
  </si>
  <si>
    <t xml:space="preserve">   应付票据</t>
  </si>
  <si>
    <t xml:space="preserve">    应收票据</t>
  </si>
  <si>
    <t xml:space="preserve">   应付账款</t>
  </si>
  <si>
    <t xml:space="preserve">    应收账款</t>
  </si>
  <si>
    <t xml:space="preserve">   预收款项</t>
  </si>
  <si>
    <t xml:space="preserve">    应收款项融资</t>
  </si>
  <si>
    <t xml:space="preserve">   合同负债</t>
  </si>
  <si>
    <t xml:space="preserve">    预付款项</t>
  </si>
  <si>
    <t xml:space="preserve">   应付职工薪酬</t>
  </si>
  <si>
    <t xml:space="preserve">    应收利息</t>
  </si>
  <si>
    <t xml:space="preserve">   应交税费</t>
  </si>
  <si>
    <t xml:space="preserve">    应收股利</t>
  </si>
  <si>
    <t xml:space="preserve">   应付利息</t>
  </si>
  <si>
    <t xml:space="preserve">    其他应收款</t>
  </si>
  <si>
    <t xml:space="preserve">    存货</t>
  </si>
  <si>
    <t xml:space="preserve">   应付股利</t>
  </si>
  <si>
    <t xml:space="preserve">    合同资产</t>
  </si>
  <si>
    <t xml:space="preserve">   其他应付款</t>
  </si>
  <si>
    <t xml:space="preserve">    一年内到期的非流动资产</t>
  </si>
  <si>
    <t xml:space="preserve">   递延收益</t>
  </si>
  <si>
    <t xml:space="preserve">    其他流动资产</t>
  </si>
  <si>
    <t xml:space="preserve">   一年内到期的非流动负债</t>
  </si>
  <si>
    <t>流动资产合计</t>
  </si>
  <si>
    <t xml:space="preserve">   其他流动负债</t>
  </si>
  <si>
    <t>非流动资产：</t>
  </si>
  <si>
    <t>流动负债合计</t>
  </si>
  <si>
    <t xml:space="preserve">     其他权益工具投资 </t>
  </si>
  <si>
    <t>非流动负债：</t>
  </si>
  <si>
    <t xml:space="preserve">     债权投资</t>
  </si>
  <si>
    <t xml:space="preserve">    长期借款</t>
  </si>
  <si>
    <t xml:space="preserve">     长期应收款</t>
  </si>
  <si>
    <t xml:space="preserve">    应付债券</t>
  </si>
  <si>
    <t xml:space="preserve">     长期股权投资</t>
  </si>
  <si>
    <t xml:space="preserve">    租赁负债</t>
  </si>
  <si>
    <t xml:space="preserve">     其他非流动金融资产</t>
  </si>
  <si>
    <t xml:space="preserve">    长期应付款</t>
  </si>
  <si>
    <t xml:space="preserve">     投资性房地产</t>
  </si>
  <si>
    <t xml:space="preserve">    专项应付款</t>
  </si>
  <si>
    <t xml:space="preserve">     固定资产-原值</t>
  </si>
  <si>
    <t xml:space="preserve">    预计负债</t>
  </si>
  <si>
    <t xml:space="preserve">     减：累计折旧</t>
  </si>
  <si>
    <t xml:space="preserve">    递延所得税负债</t>
  </si>
  <si>
    <t xml:space="preserve">     减：固定资产减值准备</t>
  </si>
  <si>
    <t xml:space="preserve">    其他非流动负债</t>
  </si>
  <si>
    <t xml:space="preserve">     固定资产净值</t>
  </si>
  <si>
    <t>非流动负债合计</t>
  </si>
  <si>
    <t xml:space="preserve">     在建工程</t>
  </si>
  <si>
    <t xml:space="preserve">     使用权资产-原值</t>
  </si>
  <si>
    <t xml:space="preserve">     减：使用权资产-累计折旧</t>
  </si>
  <si>
    <t>负债合计</t>
  </si>
  <si>
    <t xml:space="preserve">     使用权资产-净值</t>
  </si>
  <si>
    <t xml:space="preserve">   无形资产</t>
  </si>
  <si>
    <t>所有者权益（股东权益）</t>
  </si>
  <si>
    <t xml:space="preserve">   开发支出</t>
  </si>
  <si>
    <t xml:space="preserve">    实收资本</t>
  </si>
  <si>
    <t xml:space="preserve">   商誉</t>
  </si>
  <si>
    <t xml:space="preserve">    资本公积</t>
  </si>
  <si>
    <t xml:space="preserve">   长期待摊费用</t>
  </si>
  <si>
    <t xml:space="preserve">   盈余公积</t>
  </si>
  <si>
    <t xml:space="preserve">   递延所得税资产</t>
  </si>
  <si>
    <t xml:space="preserve">   其他综合收益</t>
  </si>
  <si>
    <t xml:space="preserve">   其他非流动资产</t>
  </si>
  <si>
    <t xml:space="preserve">   未分配利润</t>
  </si>
  <si>
    <t>非流动资产合计</t>
  </si>
  <si>
    <t>所有者权益（或股东权益）合计</t>
  </si>
  <si>
    <t>资产总计</t>
  </si>
  <si>
    <t>负债和所有者权益总计</t>
  </si>
  <si>
    <t>编制时间：2025.08</t>
  </si>
  <si>
    <t>编制时间：2025.09</t>
  </si>
  <si>
    <t>利润表-单体</t>
  </si>
  <si>
    <t>当期时间</t>
  </si>
  <si>
    <t>本期发生额</t>
  </si>
  <si>
    <t>累计发生额</t>
  </si>
  <si>
    <t>上月累计发生额</t>
  </si>
  <si>
    <t>当前月份</t>
  </si>
  <si>
    <t>一、营业收入</t>
  </si>
  <si>
    <t xml:space="preserve">    其中：营业收入</t>
  </si>
  <si>
    <t>主营业务收入</t>
  </si>
  <si>
    <t xml:space="preserve">      其他业务收入</t>
  </si>
  <si>
    <t>二：营业总成本</t>
  </si>
  <si>
    <t xml:space="preserve">    其中：营业成本</t>
  </si>
  <si>
    <t xml:space="preserve">      主营业务成本</t>
  </si>
  <si>
    <t xml:space="preserve">      其他业务成本</t>
  </si>
  <si>
    <t xml:space="preserve">    营业税金及附加</t>
  </si>
  <si>
    <t xml:space="preserve">    销售费用</t>
  </si>
  <si>
    <t xml:space="preserve">    管理费用</t>
  </si>
  <si>
    <t xml:space="preserve">    研发费用</t>
  </si>
  <si>
    <t>财务费用</t>
  </si>
  <si>
    <t>其他收益</t>
  </si>
  <si>
    <t>投资收益（损失以“-”号填列）</t>
  </si>
  <si>
    <t>净敞口套期收益（亏损以“－”号填列）</t>
  </si>
  <si>
    <t>公允价值变动收益</t>
  </si>
  <si>
    <t>信用减值损失（亏损以“－”号填列）</t>
  </si>
  <si>
    <t>资产减值损失</t>
  </si>
  <si>
    <t>资产处置收益（损失以“-”号填列）</t>
  </si>
  <si>
    <t>三、营业利润</t>
  </si>
  <si>
    <t xml:space="preserve">    加：营业外收入</t>
  </si>
  <si>
    <t xml:space="preserve">    减：营业外支出</t>
  </si>
  <si>
    <t>四、利润总额（亏损总额以“－”号填列）</t>
  </si>
  <si>
    <t xml:space="preserve">   减：所得税费用</t>
  </si>
  <si>
    <t>五、净利润（净亏损以“－”号填列）</t>
  </si>
  <si>
    <t>公司代码</t>
  </si>
  <si>
    <t>财年</t>
  </si>
  <si>
    <t>年度/月份</t>
  </si>
  <si>
    <t>科目</t>
  </si>
  <si>
    <t>凭证编号</t>
  </si>
  <si>
    <t>凭证类型</t>
  </si>
  <si>
    <t>凭证日期</t>
  </si>
  <si>
    <t>过账日期</t>
  </si>
  <si>
    <t>本币金额</t>
  </si>
  <si>
    <t>本币</t>
  </si>
  <si>
    <t>显示货币的金额</t>
  </si>
  <si>
    <t>凭证货币</t>
  </si>
  <si>
    <t>文本</t>
  </si>
  <si>
    <t>凭证抬头文本</t>
  </si>
  <si>
    <t>付款参考</t>
  </si>
  <si>
    <t>贸易伙伴</t>
  </si>
  <si>
    <t>客户</t>
  </si>
  <si>
    <t>供应商</t>
  </si>
  <si>
    <t>成本中心</t>
  </si>
  <si>
    <t>WBS 要素</t>
  </si>
  <si>
    <t>参照</t>
  </si>
  <si>
    <t>冲销清帐</t>
  </si>
  <si>
    <t>采购凭证</t>
  </si>
  <si>
    <t>参考代码 1</t>
  </si>
  <si>
    <t>分配</t>
  </si>
  <si>
    <t>用户名</t>
  </si>
  <si>
    <t>特别总账标识</t>
  </si>
  <si>
    <t>2342</t>
  </si>
  <si>
    <t>2025</t>
  </si>
  <si>
    <t>2221010100</t>
  </si>
  <si>
    <t>KR</t>
  </si>
  <si>
    <t>RMB</t>
  </si>
  <si>
    <t/>
  </si>
  <si>
    <t>NE-1453</t>
  </si>
  <si>
    <t>JT_SRM_SERV</t>
  </si>
  <si>
    <t>RE</t>
  </si>
  <si>
    <t>CGDD011752-9720012828</t>
  </si>
  <si>
    <t>CGDD011617-9720012771</t>
  </si>
  <si>
    <t>CGDD011113-9720012632</t>
  </si>
  <si>
    <t>CGDD011492-9210210662</t>
  </si>
  <si>
    <t>咨询服务-在建</t>
  </si>
  <si>
    <t>2320</t>
  </si>
  <si>
    <t>SGRJZX</t>
  </si>
  <si>
    <t>SGZZFJSJ</t>
  </si>
  <si>
    <t>JIE.HU</t>
  </si>
  <si>
    <t>SGYJQQZX</t>
  </si>
  <si>
    <t>2342-五河新茂风力发电有限公司</t>
  </si>
  <si>
    <t>所属期</t>
  </si>
  <si>
    <t>2025年第二季度</t>
  </si>
  <si>
    <t>单位：元</t>
  </si>
  <si>
    <t>序号</t>
  </si>
  <si>
    <t>税目</t>
  </si>
  <si>
    <t>计税依据</t>
  </si>
  <si>
    <t>税率</t>
  </si>
  <si>
    <t>应纳税额</t>
  </si>
  <si>
    <t>减免税额</t>
  </si>
  <si>
    <t>已缴税额</t>
  </si>
  <si>
    <t>应补（退）税额</t>
  </si>
  <si>
    <t>借款合同</t>
  </si>
  <si>
    <t>融资租赁合同</t>
  </si>
  <si>
    <t>买卖合同</t>
  </si>
  <si>
    <t>承揽合同</t>
  </si>
  <si>
    <t>建设工程合同</t>
  </si>
  <si>
    <t>运输合同</t>
  </si>
  <si>
    <t>技术合同</t>
  </si>
  <si>
    <t>租赁合同</t>
  </si>
  <si>
    <t>保管合同</t>
  </si>
  <si>
    <t>仓储合同</t>
  </si>
  <si>
    <t>财产保险合同</t>
  </si>
  <si>
    <t>土地使用权 出让书据</t>
  </si>
  <si>
    <t>土地使用权、 房屋等建筑 物和构筑物 所有权转让 书据（不包括 土地承包经 营权和土地 经营权转移）</t>
  </si>
  <si>
    <t>股权转让书据（不包括应 缴纳证券交 易印花税的）</t>
  </si>
  <si>
    <t>商标专用权、 著作权、专利 权、专有技术 使用权转让 书据</t>
  </si>
  <si>
    <t>菅业账簿</t>
  </si>
  <si>
    <t>证券交易</t>
  </si>
  <si>
    <t>合计</t>
  </si>
  <si>
    <t>2025Q3</t>
  </si>
  <si>
    <t>2025年第三季度</t>
  </si>
  <si>
    <r>
      <rPr>
        <b/>
        <sz val="11"/>
        <color theme="0"/>
        <rFont val="宋体"/>
        <family val="3"/>
        <charset val="134"/>
      </rPr>
      <t>序号</t>
    </r>
  </si>
  <si>
    <r>
      <rPr>
        <b/>
        <sz val="11"/>
        <color theme="0"/>
        <rFont val="宋体"/>
        <family val="3"/>
        <charset val="134"/>
      </rPr>
      <t>申报税种</t>
    </r>
  </si>
  <si>
    <r>
      <rPr>
        <b/>
        <sz val="11"/>
        <color theme="0"/>
        <rFont val="宋体"/>
        <family val="3"/>
        <charset val="134"/>
      </rPr>
      <t>税目</t>
    </r>
  </si>
  <si>
    <r>
      <rPr>
        <b/>
        <sz val="11"/>
        <color theme="0"/>
        <rFont val="宋体"/>
        <family val="3"/>
        <charset val="134"/>
      </rPr>
      <t>计税依据（记账科目</t>
    </r>
    <r>
      <rPr>
        <b/>
        <sz val="11"/>
        <color theme="0"/>
        <rFont val="Arial"/>
        <family val="2"/>
      </rPr>
      <t>/</t>
    </r>
    <r>
      <rPr>
        <b/>
        <sz val="11"/>
        <color theme="0"/>
        <rFont val="宋体"/>
        <family val="3"/>
        <charset val="134"/>
      </rPr>
      <t>计税表格）</t>
    </r>
  </si>
  <si>
    <r>
      <rPr>
        <b/>
        <sz val="11"/>
        <color theme="0"/>
        <rFont val="宋体"/>
        <family val="3"/>
        <charset val="134"/>
      </rPr>
      <t>计税金额</t>
    </r>
    <r>
      <rPr>
        <b/>
        <sz val="11"/>
        <color theme="0"/>
        <rFont val="Arial"/>
        <family val="2"/>
      </rPr>
      <t xml:space="preserve"> (A)-</t>
    </r>
    <r>
      <rPr>
        <b/>
        <sz val="11"/>
        <color theme="0"/>
        <rFont val="宋体"/>
        <family val="3"/>
        <charset val="134"/>
      </rPr>
      <t>季度</t>
    </r>
  </si>
  <si>
    <r>
      <rPr>
        <b/>
        <sz val="11"/>
        <color theme="0"/>
        <rFont val="宋体"/>
        <family val="3"/>
        <charset val="134"/>
      </rPr>
      <t>征收比例</t>
    </r>
    <r>
      <rPr>
        <b/>
        <sz val="11"/>
        <color theme="0"/>
        <rFont val="Arial"/>
        <family val="2"/>
      </rPr>
      <t xml:space="preserve"> (B)</t>
    </r>
  </si>
  <si>
    <r>
      <rPr>
        <b/>
        <sz val="11"/>
        <color theme="0"/>
        <rFont val="宋体"/>
        <family val="3"/>
        <charset val="134"/>
      </rPr>
      <t>税率</t>
    </r>
    <r>
      <rPr>
        <b/>
        <sz val="11"/>
        <color theme="0"/>
        <rFont val="Arial"/>
        <family val="2"/>
      </rPr>
      <t xml:space="preserve"> (C)</t>
    </r>
  </si>
  <si>
    <r>
      <rPr>
        <b/>
        <sz val="11"/>
        <color theme="0"/>
        <rFont val="宋体"/>
        <family val="3"/>
        <charset val="134"/>
      </rPr>
      <t>实际应纳税额</t>
    </r>
    <r>
      <rPr>
        <b/>
        <sz val="11"/>
        <color theme="0"/>
        <rFont val="Arial"/>
        <family val="2"/>
      </rPr>
      <t xml:space="preserve">  (D)</t>
    </r>
  </si>
  <si>
    <r>
      <rPr>
        <b/>
        <sz val="11"/>
        <color theme="0"/>
        <rFont val="等线"/>
        <family val="3"/>
        <charset val="134"/>
      </rPr>
      <t>差异原因</t>
    </r>
  </si>
  <si>
    <r>
      <rPr>
        <b/>
        <sz val="11"/>
        <color theme="0"/>
        <rFont val="等线"/>
        <family val="3"/>
        <charset val="134"/>
      </rPr>
      <t>指引</t>
    </r>
  </si>
  <si>
    <r>
      <rPr>
        <b/>
        <sz val="11"/>
        <color rgb="FF000000"/>
        <rFont val="宋体"/>
        <family val="3"/>
        <charset val="134"/>
      </rPr>
      <t>印花税</t>
    </r>
  </si>
  <si>
    <t>主营业务收入&amp;财务提供</t>
  </si>
  <si>
    <t>PL</t>
  </si>
  <si>
    <t>产权转移书据</t>
  </si>
  <si>
    <t>财务提供</t>
  </si>
  <si>
    <t>Ref 1</t>
  </si>
  <si>
    <t xml:space="preserve">承揽合同 </t>
  </si>
  <si>
    <t xml:space="preserve">建设工程合同 </t>
  </si>
  <si>
    <t xml:space="preserve">运输合同  </t>
  </si>
  <si>
    <t xml:space="preserve">技术合同 </t>
  </si>
  <si>
    <t xml:space="preserve">租赁合同 </t>
  </si>
  <si>
    <t xml:space="preserve">保管合同 </t>
  </si>
  <si>
    <t>营业账簿</t>
  </si>
  <si>
    <r>
      <rPr>
        <b/>
        <sz val="11"/>
        <rFont val="宋体"/>
        <family val="3"/>
        <charset val="134"/>
      </rPr>
      <t>印花税合计</t>
    </r>
  </si>
  <si>
    <t>60000200000001</t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</si>
  <si>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序号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</si>
  <si>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申报税种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</si>
  <si>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税目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</si>
  <si>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计税依据（记账科目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计税表格）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</si>
  <si>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宋体"/>
        <family val="3"/>
        <charset val="134"/>
      </rPr>
      <t xml:space="preserve">  </t>
    </r>
    <r>
      <rPr>
        <b/>
        <sz val="11"/>
        <rFont val="宋体"/>
        <family val="3"/>
        <charset val="134"/>
      </rPr>
      <t>计税金额</t>
    </r>
    <r>
      <rPr>
        <b/>
        <sz val="11"/>
        <rFont val="Arial"/>
        <family val="2"/>
      </rPr>
      <t xml:space="preserve">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</si>
  <si>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征收比例</t>
    </r>
    <r>
      <rPr>
        <b/>
        <sz val="11"/>
        <rFont val="Arial"/>
        <family val="2"/>
      </rPr>
      <t xml:space="preserve"> (B)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</si>
  <si>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税率</t>
    </r>
    <r>
      <rPr>
        <b/>
        <sz val="11"/>
        <rFont val="Arial"/>
        <family val="2"/>
      </rPr>
      <t xml:space="preserve"> (C)  </t>
    </r>
  </si>
  <si>
    <r>
      <rPr>
        <b/>
        <sz val="11"/>
        <color theme="0"/>
        <rFont val="Arial"/>
        <family val="2"/>
      </rPr>
      <t xml:space="preserve">  </t>
    </r>
    <r>
      <rPr>
        <b/>
        <sz val="11"/>
        <rFont val="宋体"/>
        <family val="3"/>
        <charset val="134"/>
      </rPr>
      <t>实际应纳税额</t>
    </r>
    <r>
      <rPr>
        <b/>
        <sz val="11"/>
        <rFont val="Arial"/>
        <family val="2"/>
      </rPr>
      <t xml:space="preserve">  (D)  </t>
    </r>
  </si>
  <si>
    <t>记账科目</t>
  </si>
  <si>
    <t>账面金额</t>
  </si>
  <si>
    <t>差异</t>
  </si>
  <si>
    <r>
      <rPr>
        <b/>
        <sz val="11"/>
        <color theme="0"/>
        <rFont val="Arial"/>
        <family val="2"/>
      </rPr>
      <t xml:space="preserve">  </t>
    </r>
    <r>
      <rPr>
        <i/>
        <sz val="11"/>
        <rFont val="宋体"/>
        <family val="3"/>
        <charset val="134"/>
      </rPr>
      <t>差异原因</t>
    </r>
    <r>
      <rPr>
        <i/>
        <sz val="11"/>
        <rFont val="Arial"/>
        <family val="2"/>
      </rPr>
      <t xml:space="preserve">  </t>
    </r>
  </si>
  <si>
    <r>
      <rPr>
        <b/>
        <sz val="11"/>
        <color rgb="FF000000"/>
        <rFont val="宋体"/>
        <family val="3"/>
        <charset val="134"/>
      </rPr>
      <t>增值税</t>
    </r>
  </si>
  <si>
    <t>销项税额-主营业务收入</t>
  </si>
  <si>
    <t>2221010200</t>
  </si>
  <si>
    <r>
      <rPr>
        <sz val="11"/>
        <color rgb="FF000000"/>
        <rFont val="Arial Unicode MS"/>
        <family val="2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Arial Unicode MS"/>
        <family val="2"/>
      </rPr>
      <t>固定资产处置收入</t>
    </r>
  </si>
  <si>
    <r>
      <rPr>
        <sz val="11"/>
        <color rgb="FF000000"/>
        <rFont val="微软雅黑"/>
        <family val="2"/>
        <charset val="134"/>
      </rPr>
      <t>固定资产销售</t>
    </r>
    <r>
      <rPr>
        <sz val="11"/>
        <color rgb="FF000000"/>
        <rFont val="宋体"/>
        <family val="3"/>
        <charset val="134"/>
      </rPr>
      <t>收入</t>
    </r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</si>
  <si>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财务费用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利息收入</t>
    </r>
  </si>
  <si>
    <t>利息收入</t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</si>
  <si>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其他收益</t>
    </r>
  </si>
  <si>
    <t>个税手续费返还</t>
  </si>
  <si>
    <t>增值税进项税额</t>
  </si>
  <si>
    <t>见表-增值税进项认证清单</t>
  </si>
  <si>
    <t>不适用</t>
  </si>
  <si>
    <t>Ref 3</t>
  </si>
  <si>
    <t>期初进项留抵金额</t>
  </si>
  <si>
    <t>见表-增值税变动表</t>
  </si>
  <si>
    <t>Ref 4</t>
  </si>
  <si>
    <t>期末进项留抵金额</t>
  </si>
  <si>
    <r>
      <rPr>
        <b/>
        <sz val="11"/>
        <rFont val="宋体"/>
        <family val="3"/>
        <charset val="134"/>
      </rPr>
      <t>增值税合计</t>
    </r>
  </si>
  <si>
    <t>61400200000001</t>
  </si>
  <si>
    <t xml:space="preserve">企业所得税 </t>
  </si>
  <si>
    <t>项目名称</t>
  </si>
  <si>
    <t>所处优惠期</t>
  </si>
  <si>
    <t>应纳税所得额</t>
  </si>
  <si>
    <r>
      <rPr>
        <b/>
        <sz val="11"/>
        <rFont val="微软雅黑"/>
        <family val="2"/>
        <charset val="134"/>
      </rPr>
      <t>征收</t>
    </r>
    <r>
      <rPr>
        <b/>
        <sz val="11"/>
        <rFont val="宋体"/>
        <family val="3"/>
        <charset val="134"/>
      </rPr>
      <t>税率</t>
    </r>
  </si>
  <si>
    <r>
      <rPr>
        <b/>
        <sz val="11"/>
        <rFont val="宋体"/>
        <family val="3"/>
        <charset val="134"/>
      </rPr>
      <t>当</t>
    </r>
    <r>
      <rPr>
        <b/>
        <sz val="11"/>
        <rFont val="微软雅黑"/>
        <family val="2"/>
        <charset val="134"/>
      </rPr>
      <t>年</t>
    </r>
    <r>
      <rPr>
        <b/>
        <sz val="11"/>
        <rFont val="宋体"/>
        <family val="3"/>
        <charset val="134"/>
      </rPr>
      <t>应</t>
    </r>
    <r>
      <rPr>
        <b/>
        <sz val="11"/>
        <rFont val="微软雅黑"/>
        <family val="2"/>
        <charset val="134"/>
      </rPr>
      <t>缴税额</t>
    </r>
  </si>
  <si>
    <r>
      <rPr>
        <b/>
        <sz val="11"/>
        <rFont val="Arial"/>
        <family val="2"/>
      </rPr>
      <t>Q2</t>
    </r>
    <r>
      <rPr>
        <b/>
        <sz val="11"/>
        <rFont val="微软雅黑"/>
        <family val="2"/>
        <charset val="134"/>
      </rPr>
      <t>已缴税额</t>
    </r>
  </si>
  <si>
    <r>
      <rPr>
        <b/>
        <sz val="11"/>
        <rFont val="Arial"/>
        <family val="2"/>
      </rPr>
      <t>Q1</t>
    </r>
    <r>
      <rPr>
        <b/>
        <sz val="11"/>
        <rFont val="微软雅黑"/>
        <family val="2"/>
        <charset val="134"/>
      </rPr>
      <t>已缴税额</t>
    </r>
  </si>
  <si>
    <t>企业所得税合计</t>
  </si>
  <si>
    <t>2221050000</t>
  </si>
  <si>
    <t>城镇土地使用税</t>
  </si>
  <si>
    <t>县城、建制镇、工矿区</t>
  </si>
  <si>
    <t>建设用地面积</t>
  </si>
  <si>
    <t>61408220000001</t>
  </si>
  <si>
    <r>
      <rPr>
        <b/>
        <sz val="11"/>
        <rFont val="宋体"/>
        <family val="3"/>
        <charset val="134"/>
      </rPr>
      <t>房产税</t>
    </r>
  </si>
  <si>
    <r>
      <rPr>
        <b/>
        <sz val="11"/>
        <rFont val="宋体"/>
        <family val="3"/>
        <charset val="134"/>
      </rPr>
      <t>从价计征</t>
    </r>
  </si>
  <si>
    <t>房产原值</t>
  </si>
  <si>
    <t>61409210000000</t>
  </si>
  <si>
    <t>耕地占用税</t>
  </si>
  <si>
    <t>耕地（非基本农田）</t>
  </si>
  <si>
    <t>其他</t>
  </si>
  <si>
    <t>水利基金</t>
  </si>
  <si>
    <t>个人所得税</t>
  </si>
  <si>
    <t>实发工资</t>
  </si>
  <si>
    <t>劳务报酬所得</t>
  </si>
  <si>
    <t>财产租赁所得</t>
  </si>
  <si>
    <t>财产租赁所得（倒算）</t>
  </si>
  <si>
    <t>契税</t>
  </si>
  <si>
    <t>土地使用权出让</t>
  </si>
  <si>
    <t>金额</t>
  </si>
  <si>
    <t>发票清单</t>
  </si>
  <si>
    <t>纳税人识别号</t>
  </si>
  <si>
    <t>91340322MA8P9Y1B29</t>
  </si>
  <si>
    <t>税款所属期</t>
  </si>
  <si>
    <t>纳税人名称</t>
  </si>
  <si>
    <t>五河新茂风力发电有限公司</t>
  </si>
  <si>
    <t>勾选状态</t>
  </si>
  <si>
    <t>发票来源</t>
  </si>
  <si>
    <t>转内销证明编号</t>
  </si>
  <si>
    <t>数电发票号码</t>
  </si>
  <si>
    <t>发票代码</t>
  </si>
  <si>
    <t>发票号码</t>
  </si>
  <si>
    <t>开票日期</t>
  </si>
  <si>
    <t>销售方纳税人识别号</t>
  </si>
  <si>
    <t>销售方纳税人名称</t>
  </si>
  <si>
    <t>税额</t>
  </si>
  <si>
    <t>有效抵扣税额</t>
  </si>
  <si>
    <t>票种</t>
  </si>
  <si>
    <t>票种标签</t>
  </si>
  <si>
    <t>发票状态</t>
  </si>
  <si>
    <t>勾选时间</t>
  </si>
  <si>
    <t>发票风险等级</t>
  </si>
  <si>
    <t>风险状态</t>
  </si>
  <si>
    <t>1</t>
  </si>
  <si>
    <t>已勾选</t>
  </si>
  <si>
    <t>电子发票服务平台</t>
  </si>
  <si>
    <t>91340700MA8PUEPEXD</t>
  </si>
  <si>
    <t>薪班班（安徽）网络科技有限公司</t>
  </si>
  <si>
    <t>数电发票（增值税专用发票）</t>
  </si>
  <si>
    <t>增值税专用发票</t>
  </si>
  <si>
    <t>正常</t>
  </si>
  <si>
    <t>无风险</t>
  </si>
  <si>
    <t>2</t>
  </si>
  <si>
    <t>3</t>
  </si>
  <si>
    <t>91310105MA1FW25C2F</t>
  </si>
  <si>
    <t>上海睿景能源科技有限公司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</si>
  <si>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</si>
  <si>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</si>
  <si>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</si>
  <si>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</si>
  <si>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</si>
  <si>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</si>
  <si>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</si>
  <si>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</si>
  <si>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</si>
  <si>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</si>
  <si>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</si>
  <si>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</si>
  <si>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</si>
  <si>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91110105667530069X</t>
  </si>
  <si>
    <t>北京神州汽车租赁有限公司</t>
  </si>
  <si>
    <t>未开票金额</t>
  </si>
  <si>
    <t>当月开票金额</t>
  </si>
  <si>
    <t>以前月度开票金额</t>
  </si>
  <si>
    <r>
      <rPr>
        <sz val="9"/>
        <color theme="1"/>
        <rFont val="宋体"/>
        <family val="3"/>
        <charset val="134"/>
      </rPr>
      <t>当月利润表主营业务收入</t>
    </r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</si>
  <si>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固定资产处置收入</t>
    </r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</si>
  <si>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财务费用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利息收入</t>
    </r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</si>
  <si>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其他收益</t>
    </r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</si>
  <si>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</t>
    </r>
  </si>
  <si>
    <t>预开票（未确认收入）-应交增值税</t>
  </si>
  <si>
    <r>
      <rPr>
        <sz val="9"/>
        <color theme="1"/>
        <rFont val="宋体"/>
        <family val="3"/>
        <charset val="134"/>
      </rPr>
      <t>增值税已认证</t>
    </r>
    <r>
      <rPr>
        <sz val="9"/>
        <color theme="1"/>
        <rFont val="等线"/>
        <family val="3"/>
        <charset val="134"/>
      </rPr>
      <t>进项税</t>
    </r>
  </si>
  <si>
    <r>
      <rPr>
        <sz val="9"/>
        <color theme="1"/>
        <rFont val="等线"/>
        <family val="3"/>
        <charset val="134"/>
      </rPr>
      <t>进项转出</t>
    </r>
  </si>
  <si>
    <r>
      <rPr>
        <sz val="9"/>
        <color theme="1"/>
        <rFont val="等线"/>
        <family val="3"/>
        <charset val="134"/>
      </rPr>
      <t>应交增值税</t>
    </r>
  </si>
  <si>
    <t>申报账面数</t>
  </si>
  <si>
    <t>开票数</t>
  </si>
  <si>
    <t>未开票数</t>
  </si>
  <si>
    <t>营业收入</t>
  </si>
  <si>
    <t>销项税额</t>
  </si>
  <si>
    <t>销售收入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</si>
  <si>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</si>
  <si>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</si>
  <si>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</si>
  <si>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</si>
  <si>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</si>
  <si>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</si>
  <si>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</si>
  <si>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</si>
  <si>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</si>
  <si>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</si>
  <si>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</si>
  <si>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</si>
  <si>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合计数</t>
  </si>
  <si>
    <t>申报税费汇总表</t>
  </si>
  <si>
    <t>残疾人保证金</t>
  </si>
  <si>
    <t>所得税</t>
  </si>
  <si>
    <t>增值税</t>
  </si>
  <si>
    <t>增值税附加税</t>
  </si>
  <si>
    <t>印花税</t>
  </si>
  <si>
    <t>工会经费</t>
  </si>
  <si>
    <t>房产税</t>
  </si>
  <si>
    <t>土地使用税</t>
  </si>
  <si>
    <t>垃圾费</t>
  </si>
  <si>
    <t>滞纳金</t>
  </si>
  <si>
    <t>税款合计</t>
  </si>
  <si>
    <t>实缴税费汇总表</t>
  </si>
  <si>
    <t>实缴税金</t>
  </si>
  <si>
    <t>申请税金</t>
  </si>
  <si>
    <t>原因</t>
  </si>
  <si>
    <r>
      <t>五河新茂风力发电有限公司</t>
    </r>
    <r>
      <rPr>
        <b/>
        <i/>
        <sz val="24"/>
        <color theme="1"/>
        <rFont val="Arial"/>
        <family val="2"/>
      </rPr>
      <t>2025</t>
    </r>
    <r>
      <rPr>
        <b/>
        <i/>
        <sz val="24"/>
        <color theme="1"/>
        <rFont val="微软雅黑"/>
        <family val="2"/>
        <charset val="134"/>
      </rPr>
      <t>年10月（税务所属期）税费申报明细</t>
    </r>
    <phoneticPr fontId="62" type="noConversion"/>
  </si>
  <si>
    <t>计税金额-2025年10月</t>
    <phoneticPr fontId="62" type="noConversion"/>
  </si>
  <si>
    <t>计税金额-2025年11月</t>
  </si>
  <si>
    <t>计税金额-2025年12月</t>
  </si>
  <si>
    <t>10月应申报合计</t>
    <phoneticPr fontId="62" type="noConversion"/>
  </si>
  <si>
    <t>编制时间：2025.10</t>
  </si>
  <si>
    <t>2025/10</t>
  </si>
  <si>
    <t>4000000143</t>
  </si>
  <si>
    <t>25112*218814297</t>
  </si>
  <si>
    <t>4000000144</t>
  </si>
  <si>
    <t>25112*218775108</t>
  </si>
  <si>
    <t>4000000145</t>
  </si>
  <si>
    <t>CGDD012464-9720013026</t>
  </si>
  <si>
    <t>25322*477236947</t>
  </si>
  <si>
    <t>4000000146</t>
  </si>
  <si>
    <t>25347*120397457</t>
  </si>
  <si>
    <t>4000000147</t>
  </si>
  <si>
    <t>25347*120397458</t>
  </si>
  <si>
    <t>4000000151</t>
  </si>
  <si>
    <t>25312000000344893988计景泰8月及9月运维部携程差旅费</t>
  </si>
  <si>
    <t>2531200000034489398820251</t>
  </si>
  <si>
    <t>2450</t>
  </si>
  <si>
    <t>SGJTZX</t>
  </si>
  <si>
    <t>4000000162</t>
  </si>
  <si>
    <t>25312000000349849361五河彩舟_10月收咨询服务-在建发票</t>
  </si>
  <si>
    <t>五河彩舟_10月收咨询服务-在建发票</t>
  </si>
  <si>
    <t>4000000163</t>
  </si>
  <si>
    <t>25312000000349848792五河彩舟_10月收设计服务发票</t>
  </si>
  <si>
    <t>五河彩舟_10月收设计服务发票</t>
  </si>
  <si>
    <t>XNCN23202025081900543</t>
  </si>
  <si>
    <t>4000000164</t>
  </si>
  <si>
    <t>25312000000349849513五河彩舟_10月收建安发票</t>
  </si>
  <si>
    <t>五河彩舟_10月收建安发票</t>
  </si>
  <si>
    <t>CPACN23202025070700008</t>
  </si>
  <si>
    <t>SGZZFJJA</t>
  </si>
  <si>
    <t>4000000152</t>
  </si>
  <si>
    <t>远景五河彩舟风电场项目项目_10月收到中央分摊发票25312000000351492020</t>
  </si>
  <si>
    <t>25312000000351492020</t>
  </si>
  <si>
    <t>IT_PEGA_800</t>
  </si>
  <si>
    <t>4000000153</t>
  </si>
  <si>
    <t>远景五河彩舟风电场项目项目_10月收到设计服务发票25312000000351491562</t>
  </si>
  <si>
    <t>25312000000351491562</t>
  </si>
  <si>
    <t>XNCN23202025080600097</t>
  </si>
  <si>
    <t>4000000154</t>
  </si>
  <si>
    <t>远景五河彩舟风电场项目项目_10月收到设计服务发票25312000000351491827</t>
  </si>
  <si>
    <t>25312000000351491827</t>
  </si>
  <si>
    <t>XNCN23202025091700543</t>
  </si>
  <si>
    <t>4000000155</t>
  </si>
  <si>
    <t>远景五河彩舟风电场项目项目_10月收到前期技术服务发票25312000000351491962</t>
  </si>
  <si>
    <t>25312000000351491962</t>
  </si>
  <si>
    <t>远景前期技术服务费</t>
  </si>
  <si>
    <t>4000000156</t>
  </si>
  <si>
    <t>远景五河彩舟风电场项目项目_10月收到前期技术服务发票25312000000351492051</t>
  </si>
  <si>
    <t>25312000000351492051</t>
  </si>
  <si>
    <t>景泰前期技术服务费</t>
  </si>
  <si>
    <t>SGJTQQZX</t>
  </si>
  <si>
    <t>4000000157</t>
  </si>
  <si>
    <t>远景五河彩舟风电场项目项目_10月收到中央分摊发票25312000000351492165</t>
  </si>
  <si>
    <t>25312000000351492165</t>
  </si>
  <si>
    <t>景泰中央分摊</t>
  </si>
  <si>
    <t>4000000158</t>
  </si>
  <si>
    <t>远景五河彩舟风电场项目项目_10月收到设计服务发票25312000000351492267</t>
  </si>
  <si>
    <t>25312000000351492267</t>
  </si>
  <si>
    <t>费用报销单</t>
  </si>
  <si>
    <t>4000000159</t>
  </si>
  <si>
    <t>25312000000352074636_10月睿景咨询服务费_蚌埠五河</t>
  </si>
  <si>
    <t>2531200000035207463620251</t>
  </si>
  <si>
    <t>202510</t>
  </si>
  <si>
    <t>25347000000120397458</t>
  </si>
  <si>
    <t>2025-10-15 14:24:28</t>
  </si>
  <si>
    <t>2025-11-10 13:47:18</t>
  </si>
  <si>
    <t>25347000000120397457</t>
  </si>
  <si>
    <t>25322000000477236947</t>
  </si>
  <si>
    <t>2025-10-15 13:57:54</t>
  </si>
  <si>
    <t>913201183023341889</t>
  </si>
  <si>
    <t>江苏苏安电力工程管理有限公司</t>
  </si>
  <si>
    <t>25312000000344893988</t>
  </si>
  <si>
    <t>2025-10-27 17:38:30</t>
  </si>
  <si>
    <t>91310105MA1FWAC869</t>
  </si>
  <si>
    <t>景泰新能源（上海）有限公司</t>
  </si>
  <si>
    <t>2025-10-31 13:59:14</t>
  </si>
  <si>
    <t>2025-10-31 13:59:11</t>
  </si>
  <si>
    <t>2025-10-31 13:59:06</t>
  </si>
  <si>
    <t>2025-10-31 13:58:59</t>
  </si>
  <si>
    <t>2025-10-31 13:59:09</t>
  </si>
  <si>
    <t>2025-10-31 13:59:01</t>
  </si>
  <si>
    <t>2025-10-31 13:59:04</t>
  </si>
  <si>
    <t>25312000000349849513</t>
  </si>
  <si>
    <t>2025-10-30 14:28:32</t>
  </si>
  <si>
    <t>25312000000349849361</t>
  </si>
  <si>
    <t>2025-10-30 14:28:37</t>
  </si>
  <si>
    <t>25312000000349848792</t>
  </si>
  <si>
    <t>2025-10-30 14:28:35</t>
  </si>
  <si>
    <t>25112000000218814297</t>
  </si>
  <si>
    <t>2025-10-14 16:52:24</t>
  </si>
  <si>
    <t>25112000000218775108</t>
  </si>
  <si>
    <t>2025-10-14 16:51:56</t>
  </si>
  <si>
    <t>此差异是已入账，进项发票不勾选，下个月调整</t>
    <phoneticPr fontId="62" type="noConversion"/>
  </si>
  <si>
    <r>
      <rPr>
        <b/>
        <sz val="11"/>
        <rFont val="Arial"/>
        <family val="2"/>
      </rPr>
      <t>Q3</t>
    </r>
    <r>
      <rPr>
        <b/>
        <sz val="11"/>
        <rFont val="微软雅黑"/>
        <family val="2"/>
        <charset val="134"/>
      </rPr>
      <t>已缴税额</t>
    </r>
  </si>
  <si>
    <r>
      <t>Q4</t>
    </r>
    <r>
      <rPr>
        <b/>
        <sz val="11"/>
        <rFont val="微软雅黑"/>
        <family val="2"/>
        <charset val="134"/>
      </rPr>
      <t>应缴税额</t>
    </r>
    <phoneticPr fontId="62" type="noConversion"/>
  </si>
  <si>
    <t>0</t>
    <phoneticPr fontId="62" type="noConversion"/>
  </si>
  <si>
    <t>期初留抵进项税-即征即退项目</t>
    <phoneticPr fontId="62" type="noConversion"/>
  </si>
  <si>
    <t>期末留抵进项税-即征即退项目</t>
    <phoneticPr fontId="6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</si>
</sst>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76" formatCode="_(* #,##0.00_);_(* \(#,##0.00\);_(* &quot;-&quot;??_);_(@_)"/>
    <numFmt numFmtId="177" formatCode="_-* #,##0_-;\-* #,##0_-;_-* &quot;-&quot;_-;_-@_-"/>
    <numFmt numFmtId="178" formatCode="yyyy&quot;年&quot;m&quot;月&quot;;@"/>
    <numFmt numFmtId="179" formatCode="0.00_);[Red]\(0.00\)"/>
    <numFmt numFmtId="180" formatCode="0.00_ "/>
    <numFmt numFmtId="181" formatCode="[$-F800]dddd\,\ mmmm\ dd\,\ yyyy"/>
    <numFmt numFmtId="182" formatCode="0.000%"/>
    <numFmt numFmtId="183" formatCode="0.0%"/>
    <numFmt numFmtId="184" formatCode="_(\¥* #,##0.00_);_(\¥* \(#,##0.00\);_(\¥* &quot;-&quot;??_);_(@_)"/>
    <numFmt numFmtId="185" formatCode="0.0000%"/>
    <numFmt numFmtId="186" formatCode="_ \¥* #,##0.00_ ;_ \¥* \-#,##0.00_ ;_ \¥* &quot;-&quot;??_ ;_ @_ "/>
    <numFmt numFmtId="187" formatCode="#,##0.00_);\(#,##0.00\)"/>
    <numFmt numFmtId="188" formatCode="#,##0.00_ ;[Red]\-#,##0.00\ "/>
  </numFmts>
  <fonts count="63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1F497D"/>
      <name val="微软雅黑"/>
      <family val="2"/>
      <charset val="134"/>
    </font>
    <font>
      <sz val="10"/>
      <color rgb="FF1F497D"/>
      <name val="Times New Roman"/>
      <family val="1"/>
    </font>
    <font>
      <b/>
      <sz val="10"/>
      <color rgb="FF1F497D"/>
      <name val="Times New Roman"/>
      <family val="1"/>
    </font>
    <font>
      <b/>
      <sz val="10"/>
      <color rgb="FF1F497D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color theme="1"/>
      <name val="Arial"/>
      <family val="2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等线"/>
      <family val="3"/>
      <charset val="134"/>
    </font>
    <font>
      <sz val="11"/>
      <color indexed="8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1"/>
      <color theme="1"/>
      <name val="Arial"/>
      <family val="2"/>
    </font>
    <font>
      <b/>
      <i/>
      <sz val="24"/>
      <color theme="1"/>
      <name val="微软雅黑"/>
      <family val="2"/>
      <charset val="134"/>
    </font>
    <font>
      <b/>
      <sz val="24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宋体"/>
      <family val="3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b/>
      <sz val="11"/>
      <name val="Arial"/>
      <family val="2"/>
    </font>
    <font>
      <sz val="11"/>
      <color rgb="FF000000"/>
      <name val="微软雅黑"/>
      <family val="2"/>
      <charset val="134"/>
    </font>
    <font>
      <sz val="11"/>
      <name val="Arial"/>
      <family val="2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FF0000"/>
      <name val="Arial"/>
      <family val="2"/>
    </font>
    <font>
      <i/>
      <sz val="11"/>
      <name val="Arial"/>
      <family val="2"/>
    </font>
    <font>
      <b/>
      <i/>
      <sz val="11"/>
      <color theme="0"/>
      <name val="Arial"/>
      <family val="2"/>
    </font>
    <font>
      <b/>
      <sz val="11"/>
      <color theme="0"/>
      <name val="等线"/>
      <family val="3"/>
      <charset val="134"/>
    </font>
    <font>
      <sz val="11"/>
      <color rgb="FFFF0000"/>
      <name val="微软雅黑"/>
      <family val="2"/>
      <charset val="134"/>
    </font>
    <font>
      <i/>
      <sz val="11"/>
      <color rgb="FF000000"/>
      <name val="Arial"/>
      <family val="2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sz val="9.9499999999999993"/>
      <color rgb="FF000000"/>
      <name val="微软雅黑"/>
      <family val="2"/>
      <charset val="134"/>
    </font>
    <font>
      <sz val="9.9499999999999993"/>
      <color rgb="FF000000"/>
      <name val="微软雅黑"/>
      <family val="2"/>
      <charset val="134"/>
    </font>
    <font>
      <sz val="9.9499999999999993"/>
      <name val="微软雅黑"/>
      <family val="2"/>
      <charset val="134"/>
    </font>
    <font>
      <sz val="11"/>
      <name val="돋움체"/>
      <charset val="129"/>
    </font>
    <font>
      <sz val="10"/>
      <color theme="1"/>
      <name val="Arial"/>
      <family val="2"/>
    </font>
    <font>
      <b/>
      <sz val="11"/>
      <name val="微软雅黑"/>
      <family val="2"/>
      <charset val="134"/>
    </font>
    <font>
      <sz val="9"/>
      <color rgb="FF000000"/>
      <name val="宋体"/>
      <family val="3"/>
      <charset val="134"/>
    </font>
    <font>
      <sz val="9"/>
      <color rgb="FF000000"/>
      <name val="Arial"/>
      <family val="2"/>
    </font>
    <font>
      <sz val="11"/>
      <color rgb="FF000000"/>
      <name val="Arial Unicode MS"/>
      <family val="2"/>
    </font>
    <font>
      <b/>
      <i/>
      <sz val="24"/>
      <color theme="1"/>
      <name val="Arial"/>
      <family val="2"/>
    </font>
    <font>
      <i/>
      <sz val="1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DFABB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872432630390331"/>
        <bgColor indexed="64"/>
      </patternFill>
    </fill>
    <fill>
      <patternFill patternType="solid">
        <fgColor theme="7" tint="0.39902951139866327"/>
        <bgColor indexed="64"/>
      </patternFill>
    </fill>
    <fill>
      <patternFill patternType="solid">
        <fgColor theme="7" tint="0.39866328928495132"/>
        <bgColor indexed="64"/>
      </patternFill>
    </fill>
    <fill>
      <patternFill patternType="solid">
        <fgColor theme="9" tint="0.39869380779442731"/>
        <bgColor indexed="64"/>
      </patternFill>
    </fill>
    <fill>
      <patternFill patternType="solid">
        <fgColor theme="8" tint="0.3986938077944273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87548448133793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00B0F0"/>
      </patternFill>
    </fill>
    <fill>
      <patternFill patternType="solid">
        <fgColor rgb="FFBFBFBF"/>
      </patternFill>
    </fill>
    <fill>
      <patternFill patternType="solid">
        <fgColor indexed="22"/>
      </patternFill>
    </fill>
  </fills>
  <borders count="3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0">
    <xf numFmtId="0" fontId="0" fillId="0" borderId="0"/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52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53" fillId="0" borderId="0"/>
    <xf numFmtId="0" fontId="5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3" fillId="0" borderId="0"/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07">
    <xf numFmtId="0" fontId="0" fillId="0" borderId="0" xfId="0"/>
    <xf numFmtId="0" fontId="1" fillId="0" borderId="0" xfId="13" applyFont="1" applyAlignment="1"/>
    <xf numFmtId="0" fontId="2" fillId="0" borderId="0" xfId="15"/>
    <xf numFmtId="0" fontId="3" fillId="0" borderId="0" xfId="13" applyFont="1" applyAlignment="1">
      <alignment horizontal="center" vertical="center" wrapText="1"/>
    </xf>
    <xf numFmtId="0" fontId="4" fillId="0" borderId="3" xfId="13" applyFont="1" applyBorder="1" applyAlignment="1">
      <alignment horizontal="center" vertical="center" wrapText="1"/>
    </xf>
    <xf numFmtId="0" fontId="4" fillId="0" borderId="3" xfId="13" applyFont="1" applyBorder="1" applyAlignment="1">
      <alignment horizontal="center" vertical="center"/>
    </xf>
    <xf numFmtId="178" fontId="4" fillId="0" borderId="3" xfId="12" applyNumberFormat="1" applyFont="1" applyBorder="1" applyAlignment="1">
      <alignment horizontal="center" vertical="center" wrapText="1"/>
    </xf>
    <xf numFmtId="176" fontId="5" fillId="0" borderId="3" xfId="18" applyFont="1" applyFill="1" applyBorder="1" applyAlignment="1">
      <alignment horizontal="right" vertical="center"/>
    </xf>
    <xf numFmtId="176" fontId="5" fillId="0" borderId="3" xfId="18" applyFont="1" applyBorder="1" applyAlignment="1">
      <alignment horizontal="right" vertical="center"/>
    </xf>
    <xf numFmtId="176" fontId="5" fillId="0" borderId="4" xfId="18" applyFont="1" applyFill="1" applyBorder="1" applyAlignment="1">
      <alignment horizontal="right" vertical="center"/>
    </xf>
    <xf numFmtId="178" fontId="4" fillId="0" borderId="3" xfId="13" applyNumberFormat="1" applyFont="1" applyBorder="1" applyAlignment="1">
      <alignment horizontal="center" vertical="center" wrapText="1"/>
    </xf>
    <xf numFmtId="0" fontId="1" fillId="0" borderId="0" xfId="13" applyFont="1" applyAlignment="1">
      <alignment horizontal="right" vertical="center" wrapText="1"/>
    </xf>
    <xf numFmtId="176" fontId="4" fillId="0" borderId="3" xfId="18" applyFont="1" applyFill="1" applyBorder="1" applyAlignment="1">
      <alignment horizontal="center" vertical="center"/>
    </xf>
    <xf numFmtId="0" fontId="1" fillId="0" borderId="0" xfId="13" applyFont="1" applyAlignment="1">
      <alignment horizontal="left"/>
    </xf>
    <xf numFmtId="176" fontId="6" fillId="0" borderId="3" xfId="18" applyFont="1" applyFill="1" applyBorder="1" applyAlignment="1">
      <alignment horizontal="right" vertical="center"/>
    </xf>
    <xf numFmtId="176" fontId="7" fillId="0" borderId="3" xfId="18" applyFont="1" applyFill="1" applyBorder="1" applyAlignment="1">
      <alignment horizontal="left" vertical="center"/>
    </xf>
    <xf numFmtId="176" fontId="8" fillId="0" borderId="3" xfId="18" applyFont="1" applyFill="1" applyBorder="1" applyAlignment="1">
      <alignment horizontal="right" vertical="center"/>
    </xf>
    <xf numFmtId="176" fontId="9" fillId="0" borderId="3" xfId="18" applyFont="1" applyFill="1" applyBorder="1" applyAlignment="1">
      <alignment horizontal="right" vertical="center"/>
    </xf>
    <xf numFmtId="179" fontId="4" fillId="0" borderId="3" xfId="13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3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3" fontId="10" fillId="0" borderId="3" xfId="0" applyNumberFormat="1" applyFont="1" applyBorder="1" applyAlignment="1">
      <alignment horizontal="center" vertical="center"/>
    </xf>
    <xf numFmtId="43" fontId="12" fillId="0" borderId="3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3" fontId="0" fillId="0" borderId="9" xfId="0" applyNumberForma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3" fontId="0" fillId="0" borderId="11" xfId="0" applyNumberFormat="1" applyBorder="1" applyAlignment="1">
      <alignment horizontal="center" vertical="center"/>
    </xf>
    <xf numFmtId="43" fontId="0" fillId="0" borderId="12" xfId="0" applyNumberFormat="1" applyBorder="1" applyAlignment="1">
      <alignment horizontal="center" vertical="center"/>
    </xf>
    <xf numFmtId="176" fontId="0" fillId="0" borderId="0" xfId="1" applyFont="1" applyAlignment="1"/>
    <xf numFmtId="0" fontId="13" fillId="0" borderId="3" xfId="0" applyFont="1" applyBorder="1"/>
    <xf numFmtId="176" fontId="14" fillId="0" borderId="3" xfId="1" applyFont="1" applyBorder="1" applyAlignment="1">
      <alignment horizontal="center"/>
    </xf>
    <xf numFmtId="176" fontId="14" fillId="0" borderId="3" xfId="1" applyFont="1" applyFill="1" applyBorder="1" applyAlignment="1">
      <alignment horizontal="center"/>
    </xf>
    <xf numFmtId="0" fontId="13" fillId="0" borderId="3" xfId="0" applyFont="1" applyBorder="1" applyAlignment="1">
      <alignment horizontal="right"/>
    </xf>
    <xf numFmtId="176" fontId="13" fillId="0" borderId="13" xfId="1" applyFont="1" applyBorder="1" applyAlignment="1">
      <alignment horizontal="right"/>
    </xf>
    <xf numFmtId="176" fontId="0" fillId="0" borderId="13" xfId="1" applyFont="1" applyBorder="1" applyAlignment="1"/>
    <xf numFmtId="176" fontId="13" fillId="0" borderId="3" xfId="1" applyFont="1" applyFill="1" applyBorder="1" applyAlignment="1">
      <alignment horizontal="right"/>
    </xf>
    <xf numFmtId="176" fontId="13" fillId="0" borderId="3" xfId="1" applyFont="1" applyBorder="1" applyAlignment="1">
      <alignment horizontal="right"/>
    </xf>
    <xf numFmtId="176" fontId="0" fillId="0" borderId="3" xfId="1" applyFont="1" applyBorder="1" applyAlignment="1"/>
    <xf numFmtId="0" fontId="0" fillId="0" borderId="3" xfId="0" applyBorder="1"/>
    <xf numFmtId="0" fontId="15" fillId="0" borderId="3" xfId="0" applyFont="1" applyBorder="1" applyAlignment="1">
      <alignment horizontal="right"/>
    </xf>
    <xf numFmtId="0" fontId="16" fillId="0" borderId="3" xfId="0" applyFont="1" applyBorder="1" applyAlignment="1">
      <alignment horizontal="right"/>
    </xf>
    <xf numFmtId="0" fontId="17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0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180" fontId="0" fillId="0" borderId="0" xfId="0" applyNumberFormat="1"/>
    <xf numFmtId="0" fontId="19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81" fontId="19" fillId="0" borderId="16" xfId="0" applyNumberFormat="1" applyFont="1" applyBorder="1" applyAlignment="1">
      <alignment horizontal="center" vertical="center"/>
    </xf>
    <xf numFmtId="176" fontId="22" fillId="5" borderId="18" xfId="1" applyFont="1" applyFill="1" applyBorder="1" applyAlignment="1">
      <alignment horizontal="center" vertical="center"/>
    </xf>
    <xf numFmtId="176" fontId="22" fillId="5" borderId="13" xfId="1" applyFont="1" applyFill="1" applyBorder="1" applyAlignment="1">
      <alignment horizontal="center" vertical="center"/>
    </xf>
    <xf numFmtId="176" fontId="22" fillId="5" borderId="13" xfId="1" applyFont="1" applyFill="1" applyBorder="1" applyAlignment="1">
      <alignment horizontal="center" vertical="center" wrapText="1"/>
    </xf>
    <xf numFmtId="176" fontId="23" fillId="5" borderId="13" xfId="1" applyFont="1" applyFill="1" applyBorder="1" applyAlignment="1">
      <alignment horizontal="center" vertical="center"/>
    </xf>
    <xf numFmtId="176" fontId="24" fillId="0" borderId="3" xfId="1" applyFont="1" applyFill="1" applyBorder="1" applyAlignment="1">
      <alignment horizontal="left" vertical="center"/>
    </xf>
    <xf numFmtId="176" fontId="26" fillId="0" borderId="3" xfId="1" applyFont="1" applyBorder="1" applyAlignment="1">
      <alignment horizontal="center" vertical="center"/>
    </xf>
    <xf numFmtId="40" fontId="24" fillId="0" borderId="3" xfId="1" applyNumberFormat="1" applyFont="1" applyBorder="1" applyAlignment="1">
      <alignment horizontal="center" vertical="center"/>
    </xf>
    <xf numFmtId="9" fontId="24" fillId="0" borderId="3" xfId="2" applyFont="1" applyFill="1" applyBorder="1" applyAlignment="1">
      <alignment horizontal="center" vertical="center"/>
    </xf>
    <xf numFmtId="182" fontId="24" fillId="0" borderId="3" xfId="2" applyNumberFormat="1" applyFont="1" applyBorder="1" applyAlignment="1">
      <alignment horizontal="center" vertical="center"/>
    </xf>
    <xf numFmtId="40" fontId="24" fillId="0" borderId="3" xfId="1" applyNumberFormat="1" applyFont="1" applyFill="1" applyBorder="1" applyAlignment="1">
      <alignment horizontal="center" vertical="center"/>
    </xf>
    <xf numFmtId="176" fontId="26" fillId="0" borderId="3" xfId="1" applyFont="1" applyBorder="1" applyAlignment="1">
      <alignment horizontal="left" vertical="center"/>
    </xf>
    <xf numFmtId="182" fontId="24" fillId="0" borderId="3" xfId="2" applyNumberFormat="1" applyFont="1" applyFill="1" applyBorder="1" applyAlignment="1">
      <alignment horizontal="center" vertical="center"/>
    </xf>
    <xf numFmtId="176" fontId="24" fillId="0" borderId="3" xfId="1" applyFont="1" applyBorder="1" applyAlignment="1">
      <alignment horizontal="left" vertical="center"/>
    </xf>
    <xf numFmtId="0" fontId="27" fillId="6" borderId="7" xfId="0" applyFont="1" applyFill="1" applyBorder="1" applyAlignment="1">
      <alignment horizontal="center" vertical="center"/>
    </xf>
    <xf numFmtId="176" fontId="27" fillId="6" borderId="3" xfId="1" applyFont="1" applyFill="1" applyBorder="1" applyAlignment="1">
      <alignment horizontal="center" vertical="center"/>
    </xf>
    <xf numFmtId="2" fontId="27" fillId="6" borderId="3" xfId="0" applyNumberFormat="1" applyFont="1" applyFill="1" applyBorder="1" applyAlignment="1">
      <alignment horizontal="center" vertical="center"/>
    </xf>
    <xf numFmtId="40" fontId="27" fillId="6" borderId="3" xfId="1" applyNumberFormat="1" applyFont="1" applyFill="1" applyBorder="1" applyAlignment="1">
      <alignment horizontal="center" vertical="center"/>
    </xf>
    <xf numFmtId="10" fontId="27" fillId="6" borderId="3" xfId="2" applyNumberFormat="1" applyFont="1" applyFill="1" applyBorder="1" applyAlignment="1">
      <alignment horizontal="center" vertical="center"/>
    </xf>
    <xf numFmtId="176" fontId="28" fillId="7" borderId="3" xfId="1" applyFont="1" applyFill="1" applyBorder="1" applyAlignment="1">
      <alignment horizontal="center" vertical="center"/>
    </xf>
    <xf numFmtId="176" fontId="24" fillId="7" borderId="3" xfId="1" applyFont="1" applyFill="1" applyBorder="1" applyAlignment="1">
      <alignment horizontal="center" vertical="center"/>
    </xf>
    <xf numFmtId="40" fontId="29" fillId="7" borderId="3" xfId="1" applyNumberFormat="1" applyFont="1" applyFill="1" applyBorder="1" applyAlignment="1">
      <alignment horizontal="center" vertical="center"/>
    </xf>
    <xf numFmtId="9" fontId="24" fillId="7" borderId="3" xfId="2" applyFont="1" applyFill="1" applyBorder="1" applyAlignment="1">
      <alignment horizontal="center" vertical="center"/>
    </xf>
    <xf numFmtId="40" fontId="24" fillId="7" borderId="3" xfId="1" applyNumberFormat="1" applyFont="1" applyFill="1" applyBorder="1" applyAlignment="1">
      <alignment horizontal="center" vertical="center"/>
    </xf>
    <xf numFmtId="176" fontId="24" fillId="0" borderId="3" xfId="1" applyFont="1" applyFill="1" applyBorder="1" applyAlignment="1">
      <alignment horizontal="center" vertical="center"/>
    </xf>
    <xf numFmtId="176" fontId="24" fillId="0" borderId="3" xfId="1" applyFont="1" applyBorder="1" applyAlignment="1">
      <alignment horizontal="center" vertical="center"/>
    </xf>
    <xf numFmtId="9" fontId="24" fillId="0" borderId="3" xfId="2" applyFont="1" applyBorder="1" applyAlignment="1">
      <alignment horizontal="center" vertical="center"/>
    </xf>
    <xf numFmtId="40" fontId="26" fillId="0" borderId="3" xfId="1" applyNumberFormat="1" applyFont="1" applyFill="1" applyBorder="1" applyAlignment="1">
      <alignment horizontal="center" vertical="center"/>
    </xf>
    <xf numFmtId="40" fontId="29" fillId="0" borderId="3" xfId="1" applyNumberFormat="1" applyFont="1" applyFill="1" applyBorder="1" applyAlignment="1">
      <alignment horizontal="center" vertical="center"/>
    </xf>
    <xf numFmtId="176" fontId="26" fillId="0" borderId="3" xfId="1" applyFont="1" applyFill="1" applyBorder="1" applyAlignment="1">
      <alignment horizontal="center" vertical="center"/>
    </xf>
    <xf numFmtId="38" fontId="27" fillId="8" borderId="7" xfId="1" applyNumberFormat="1" applyFont="1" applyFill="1" applyBorder="1" applyAlignment="1">
      <alignment horizontal="center" vertical="center"/>
    </xf>
    <xf numFmtId="176" fontId="27" fillId="8" borderId="3" xfId="1" applyFont="1" applyFill="1" applyBorder="1" applyAlignment="1">
      <alignment horizontal="center" vertical="center"/>
    </xf>
    <xf numFmtId="2" fontId="27" fillId="8" borderId="3" xfId="0" applyNumberFormat="1" applyFont="1" applyFill="1" applyBorder="1" applyAlignment="1">
      <alignment horizontal="center" vertical="center"/>
    </xf>
    <xf numFmtId="40" fontId="27" fillId="8" borderId="3" xfId="1" applyNumberFormat="1" applyFont="1" applyFill="1" applyBorder="1" applyAlignment="1">
      <alignment horizontal="center" vertical="center"/>
    </xf>
    <xf numFmtId="9" fontId="27" fillId="8" borderId="3" xfId="2" applyFont="1" applyFill="1" applyBorder="1" applyAlignment="1">
      <alignment horizontal="center" vertical="center"/>
    </xf>
    <xf numFmtId="176" fontId="30" fillId="2" borderId="3" xfId="1" applyFont="1" applyFill="1" applyBorder="1" applyAlignment="1">
      <alignment horizontal="center" vertical="center"/>
    </xf>
    <xf numFmtId="40" fontId="27" fillId="2" borderId="3" xfId="1" applyNumberFormat="1" applyFont="1" applyFill="1" applyBorder="1" applyAlignment="1">
      <alignment horizontal="center" vertical="center"/>
    </xf>
    <xf numFmtId="9" fontId="27" fillId="2" borderId="3" xfId="0" applyNumberFormat="1" applyFont="1" applyFill="1" applyBorder="1" applyAlignment="1">
      <alignment horizontal="center" vertical="center"/>
    </xf>
    <xf numFmtId="9" fontId="27" fillId="2" borderId="3" xfId="2" applyFont="1" applyFill="1" applyBorder="1" applyAlignment="1">
      <alignment horizontal="center" vertical="center"/>
    </xf>
    <xf numFmtId="176" fontId="31" fillId="2" borderId="3" xfId="1" applyFont="1" applyFill="1" applyBorder="1" applyAlignment="1">
      <alignment horizontal="center" vertical="center"/>
    </xf>
    <xf numFmtId="40" fontId="29" fillId="2" borderId="3" xfId="1" applyNumberFormat="1" applyFont="1" applyFill="1" applyBorder="1" applyAlignment="1">
      <alignment horizontal="center" vertical="center"/>
    </xf>
    <xf numFmtId="10" fontId="29" fillId="2" borderId="3" xfId="2" applyNumberFormat="1" applyFont="1" applyFill="1" applyBorder="1" applyAlignment="1">
      <alignment horizontal="center" vertical="center"/>
    </xf>
    <xf numFmtId="176" fontId="29" fillId="2" borderId="3" xfId="1" applyFont="1" applyFill="1" applyBorder="1" applyAlignment="1">
      <alignment horizontal="center" vertical="center"/>
    </xf>
    <xf numFmtId="38" fontId="27" fillId="9" borderId="7" xfId="1" applyNumberFormat="1" applyFont="1" applyFill="1" applyBorder="1" applyAlignment="1">
      <alignment horizontal="center" vertical="center"/>
    </xf>
    <xf numFmtId="176" fontId="30" fillId="10" borderId="3" xfId="1" applyFont="1" applyFill="1" applyBorder="1" applyAlignment="1">
      <alignment horizontal="center" vertical="center"/>
    </xf>
    <xf numFmtId="40" fontId="27" fillId="10" borderId="3" xfId="1" applyNumberFormat="1" applyFont="1" applyFill="1" applyBorder="1" applyAlignment="1">
      <alignment horizontal="center" vertical="center"/>
    </xf>
    <xf numFmtId="9" fontId="27" fillId="10" borderId="3" xfId="0" applyNumberFormat="1" applyFont="1" applyFill="1" applyBorder="1" applyAlignment="1">
      <alignment horizontal="center" vertical="center"/>
    </xf>
    <xf numFmtId="176" fontId="27" fillId="10" borderId="3" xfId="2" applyNumberFormat="1" applyFont="1" applyFill="1" applyBorder="1" applyAlignment="1">
      <alignment horizontal="center" vertical="center"/>
    </xf>
    <xf numFmtId="38" fontId="25" fillId="11" borderId="7" xfId="1" applyNumberFormat="1" applyFont="1" applyFill="1" applyBorder="1" applyAlignment="1">
      <alignment horizontal="center" vertical="center"/>
    </xf>
    <xf numFmtId="176" fontId="32" fillId="11" borderId="3" xfId="1" applyFont="1" applyFill="1" applyBorder="1" applyAlignment="1">
      <alignment horizontal="center" vertical="center"/>
    </xf>
    <xf numFmtId="176" fontId="32" fillId="11" borderId="3" xfId="1" applyFont="1" applyFill="1" applyBorder="1" applyAlignment="1">
      <alignment horizontal="center" vertical="center" wrapText="1"/>
    </xf>
    <xf numFmtId="40" fontId="25" fillId="11" borderId="3" xfId="1" applyNumberFormat="1" applyFont="1" applyFill="1" applyBorder="1" applyAlignment="1">
      <alignment horizontal="center" vertical="center"/>
    </xf>
    <xf numFmtId="9" fontId="25" fillId="11" borderId="3" xfId="1" applyNumberFormat="1" applyFont="1" applyFill="1" applyBorder="1" applyAlignment="1">
      <alignment horizontal="center" vertical="center"/>
    </xf>
    <xf numFmtId="179" fontId="25" fillId="11" borderId="3" xfId="2" applyNumberFormat="1" applyFont="1" applyFill="1" applyBorder="1" applyAlignment="1">
      <alignment horizontal="center" vertical="center"/>
    </xf>
    <xf numFmtId="38" fontId="27" fillId="12" borderId="7" xfId="1" applyNumberFormat="1" applyFont="1" applyFill="1" applyBorder="1" applyAlignment="1">
      <alignment horizontal="center" vertical="center"/>
    </xf>
    <xf numFmtId="176" fontId="27" fillId="12" borderId="3" xfId="1" applyFont="1" applyFill="1" applyBorder="1" applyAlignment="1">
      <alignment horizontal="center" vertical="center"/>
    </xf>
    <xf numFmtId="176" fontId="30" fillId="12" borderId="3" xfId="1" applyFont="1" applyFill="1" applyBorder="1" applyAlignment="1">
      <alignment horizontal="center" vertical="center" wrapText="1"/>
    </xf>
    <xf numFmtId="40" fontId="27" fillId="12" borderId="3" xfId="1" applyNumberFormat="1" applyFont="1" applyFill="1" applyBorder="1" applyAlignment="1">
      <alignment horizontal="center" vertical="center"/>
    </xf>
    <xf numFmtId="176" fontId="27" fillId="12" borderId="3" xfId="1" applyFont="1" applyFill="1" applyBorder="1" applyAlignment="1">
      <alignment horizontal="center" vertical="center" wrapText="1"/>
    </xf>
    <xf numFmtId="183" fontId="27" fillId="12" borderId="3" xfId="2" applyNumberFormat="1" applyFont="1" applyFill="1" applyBorder="1" applyAlignment="1">
      <alignment horizontal="center" vertical="center"/>
    </xf>
    <xf numFmtId="176" fontId="30" fillId="12" borderId="20" xfId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40" fontId="27" fillId="12" borderId="20" xfId="1" applyNumberFormat="1" applyFont="1" applyFill="1" applyBorder="1" applyAlignment="1">
      <alignment horizontal="center" vertical="center"/>
    </xf>
    <xf numFmtId="176" fontId="31" fillId="12" borderId="3" xfId="1" applyFont="1" applyFill="1" applyBorder="1" applyAlignment="1">
      <alignment horizontal="center" vertical="center"/>
    </xf>
    <xf numFmtId="38" fontId="27" fillId="12" borderId="23" xfId="1" applyNumberFormat="1" applyFont="1" applyFill="1" applyBorder="1" applyAlignment="1">
      <alignment horizontal="center" vertical="center"/>
    </xf>
    <xf numFmtId="176" fontId="27" fillId="0" borderId="3" xfId="1" applyFont="1" applyFill="1" applyBorder="1" applyAlignment="1">
      <alignment horizontal="center" vertical="center"/>
    </xf>
    <xf numFmtId="176" fontId="30" fillId="0" borderId="3" xfId="1" applyFont="1" applyFill="1" applyBorder="1" applyAlignment="1">
      <alignment horizontal="center" vertical="center"/>
    </xf>
    <xf numFmtId="40" fontId="27" fillId="0" borderId="20" xfId="1" applyNumberFormat="1" applyFont="1" applyFill="1" applyBorder="1" applyAlignment="1">
      <alignment horizontal="center" vertical="center"/>
    </xf>
    <xf numFmtId="176" fontId="30" fillId="0" borderId="3" xfId="1" applyFont="1" applyFill="1" applyBorder="1" applyAlignment="1">
      <alignment horizontal="center" vertical="center" wrapText="1"/>
    </xf>
    <xf numFmtId="2" fontId="26" fillId="0" borderId="3" xfId="0" applyNumberFormat="1" applyFont="1" applyBorder="1" applyAlignment="1">
      <alignment horizontal="center" vertical="center" wrapText="1"/>
    </xf>
    <xf numFmtId="40" fontId="24" fillId="0" borderId="20" xfId="1" applyNumberFormat="1" applyFont="1" applyFill="1" applyBorder="1" applyAlignment="1">
      <alignment horizontal="center" vertical="center"/>
    </xf>
    <xf numFmtId="9" fontId="19" fillId="0" borderId="3" xfId="0" applyNumberFormat="1" applyFont="1" applyBorder="1" applyAlignment="1">
      <alignment horizontal="center" vertical="center"/>
    </xf>
    <xf numFmtId="176" fontId="26" fillId="0" borderId="20" xfId="1" applyFont="1" applyFill="1" applyBorder="1" applyAlignment="1">
      <alignment horizontal="center" vertical="center"/>
    </xf>
    <xf numFmtId="2" fontId="26" fillId="0" borderId="20" xfId="0" applyNumberFormat="1" applyFont="1" applyBorder="1" applyAlignment="1">
      <alignment horizontal="center" vertical="center" wrapText="1"/>
    </xf>
    <xf numFmtId="9" fontId="19" fillId="0" borderId="20" xfId="0" applyNumberFormat="1" applyFont="1" applyBorder="1" applyAlignment="1">
      <alignment horizontal="center" vertical="center"/>
    </xf>
    <xf numFmtId="9" fontId="24" fillId="0" borderId="20" xfId="2" applyFont="1" applyFill="1" applyBorder="1" applyAlignment="1">
      <alignment horizontal="center" vertical="center"/>
    </xf>
    <xf numFmtId="38" fontId="27" fillId="13" borderId="26" xfId="1" applyNumberFormat="1" applyFont="1" applyFill="1" applyBorder="1" applyAlignment="1">
      <alignment horizontal="center" vertical="center"/>
    </xf>
    <xf numFmtId="176" fontId="25" fillId="13" borderId="24" xfId="1" applyFont="1" applyFill="1" applyBorder="1" applyAlignment="1">
      <alignment horizontal="center" vertical="center"/>
    </xf>
    <xf numFmtId="176" fontId="32" fillId="13" borderId="20" xfId="1" applyFont="1" applyFill="1" applyBorder="1" applyAlignment="1">
      <alignment horizontal="center" vertical="center"/>
    </xf>
    <xf numFmtId="2" fontId="32" fillId="13" borderId="20" xfId="0" applyNumberFormat="1" applyFont="1" applyFill="1" applyBorder="1" applyAlignment="1">
      <alignment horizontal="center" vertical="center" wrapText="1"/>
    </xf>
    <xf numFmtId="40" fontId="25" fillId="13" borderId="20" xfId="1" applyNumberFormat="1" applyFont="1" applyFill="1" applyBorder="1" applyAlignment="1">
      <alignment horizontal="center" vertical="center"/>
    </xf>
    <xf numFmtId="9" fontId="33" fillId="13" borderId="20" xfId="0" applyNumberFormat="1" applyFont="1" applyFill="1" applyBorder="1" applyAlignment="1">
      <alignment horizontal="center" vertical="center"/>
    </xf>
    <xf numFmtId="9" fontId="25" fillId="13" borderId="20" xfId="2" applyFont="1" applyFill="1" applyBorder="1" applyAlignment="1">
      <alignment horizontal="center" vertical="center"/>
    </xf>
    <xf numFmtId="176" fontId="32" fillId="13" borderId="3" xfId="1" applyFont="1" applyFill="1" applyBorder="1" applyAlignment="1">
      <alignment horizontal="center" vertical="center"/>
    </xf>
    <xf numFmtId="176" fontId="34" fillId="5" borderId="9" xfId="1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40" fontId="34" fillId="5" borderId="9" xfId="1" applyNumberFormat="1" applyFont="1" applyFill="1" applyBorder="1" applyAlignment="1">
      <alignment horizontal="center" vertical="center"/>
    </xf>
    <xf numFmtId="40" fontId="22" fillId="5" borderId="9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80" fontId="19" fillId="0" borderId="0" xfId="0" applyNumberFormat="1" applyFont="1" applyAlignment="1">
      <alignment horizontal="center"/>
    </xf>
    <xf numFmtId="184" fontId="19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76" fontId="19" fillId="0" borderId="0" xfId="1" applyFont="1" applyAlignment="1">
      <alignment horizontal="center"/>
    </xf>
    <xf numFmtId="49" fontId="23" fillId="5" borderId="13" xfId="1" applyNumberFormat="1" applyFont="1" applyFill="1" applyBorder="1" applyAlignment="1">
      <alignment horizontal="center" vertical="center"/>
    </xf>
    <xf numFmtId="176" fontId="22" fillId="5" borderId="1" xfId="1" applyFont="1" applyFill="1" applyBorder="1" applyAlignment="1">
      <alignment horizontal="center" vertical="center"/>
    </xf>
    <xf numFmtId="176" fontId="22" fillId="5" borderId="31" xfId="1" applyFont="1" applyFill="1" applyBorder="1" applyAlignment="1">
      <alignment horizontal="center" vertical="center"/>
    </xf>
    <xf numFmtId="179" fontId="24" fillId="0" borderId="3" xfId="1" applyNumberFormat="1" applyFont="1" applyBorder="1" applyAlignment="1">
      <alignment horizontal="center" vertical="center"/>
    </xf>
    <xf numFmtId="176" fontId="24" fillId="0" borderId="32" xfId="1" applyFont="1" applyBorder="1" applyAlignment="1">
      <alignment horizontal="center" vertical="center"/>
    </xf>
    <xf numFmtId="10" fontId="36" fillId="0" borderId="11" xfId="0" applyNumberFormat="1" applyFont="1" applyBorder="1" applyAlignment="1">
      <alignment horizontal="center" vertical="center"/>
    </xf>
    <xf numFmtId="49" fontId="24" fillId="0" borderId="3" xfId="1" applyNumberFormat="1" applyFont="1" applyBorder="1" applyAlignment="1">
      <alignment horizontal="center" vertical="center"/>
    </xf>
    <xf numFmtId="49" fontId="27" fillId="6" borderId="3" xfId="1" applyNumberFormat="1" applyFont="1" applyFill="1" applyBorder="1" applyAlignment="1">
      <alignment horizontal="center" vertical="center"/>
    </xf>
    <xf numFmtId="176" fontId="37" fillId="6" borderId="32" xfId="1" applyFont="1" applyFill="1" applyBorder="1" applyAlignment="1">
      <alignment horizontal="center" vertical="center" wrapText="1"/>
    </xf>
    <xf numFmtId="10" fontId="38" fillId="0" borderId="1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76" fontId="39" fillId="5" borderId="13" xfId="1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176" fontId="25" fillId="7" borderId="32" xfId="1" applyFont="1" applyFill="1" applyBorder="1" applyAlignment="1">
      <alignment horizontal="center" vertical="center" wrapText="1"/>
    </xf>
    <xf numFmtId="9" fontId="36" fillId="0" borderId="11" xfId="0" applyNumberFormat="1" applyFont="1" applyBorder="1" applyAlignment="1">
      <alignment horizontal="center" vertical="center"/>
    </xf>
    <xf numFmtId="49" fontId="24" fillId="7" borderId="3" xfId="1" applyNumberFormat="1" applyFont="1" applyFill="1" applyBorder="1" applyAlignment="1">
      <alignment horizontal="center" vertical="center"/>
    </xf>
    <xf numFmtId="9" fontId="19" fillId="0" borderId="11" xfId="0" applyNumberFormat="1" applyFont="1" applyBorder="1" applyAlignment="1">
      <alignment horizontal="center" vertical="center"/>
    </xf>
    <xf numFmtId="49" fontId="24" fillId="0" borderId="3" xfId="1" applyNumberFormat="1" applyFont="1" applyFill="1" applyBorder="1" applyAlignment="1">
      <alignment horizontal="center" vertical="center"/>
    </xf>
    <xf numFmtId="176" fontId="40" fillId="7" borderId="32" xfId="1" applyFont="1" applyFill="1" applyBorder="1" applyAlignment="1">
      <alignment horizontal="center" vertical="center" wrapText="1"/>
    </xf>
    <xf numFmtId="40" fontId="24" fillId="0" borderId="32" xfId="1" applyNumberFormat="1" applyFont="1" applyFill="1" applyBorder="1" applyAlignment="1">
      <alignment horizontal="left" vertical="center" wrapText="1"/>
    </xf>
    <xf numFmtId="49" fontId="0" fillId="0" borderId="3" xfId="0" applyNumberFormat="1" applyBorder="1"/>
    <xf numFmtId="49" fontId="27" fillId="8" borderId="3" xfId="1" applyNumberFormat="1" applyFont="1" applyFill="1" applyBorder="1" applyAlignment="1">
      <alignment horizontal="center" vertical="center"/>
    </xf>
    <xf numFmtId="176" fontId="37" fillId="8" borderId="32" xfId="1" applyFont="1" applyFill="1" applyBorder="1" applyAlignment="1">
      <alignment horizontal="center" vertical="center" wrapText="1"/>
    </xf>
    <xf numFmtId="9" fontId="33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76" fontId="37" fillId="2" borderId="3" xfId="1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49" fontId="27" fillId="2" borderId="3" xfId="1" applyNumberFormat="1" applyFont="1" applyFill="1" applyBorder="1" applyAlignment="1">
      <alignment horizontal="center" vertical="center"/>
    </xf>
    <xf numFmtId="176" fontId="37" fillId="10" borderId="3" xfId="1" applyFont="1" applyFill="1" applyBorder="1" applyAlignment="1">
      <alignment horizontal="center" vertical="center" wrapText="1"/>
    </xf>
    <xf numFmtId="49" fontId="25" fillId="11" borderId="3" xfId="1" applyNumberFormat="1" applyFont="1" applyFill="1" applyBorder="1" applyAlignment="1">
      <alignment horizontal="center" vertical="center"/>
    </xf>
    <xf numFmtId="40" fontId="27" fillId="11" borderId="3" xfId="1" applyNumberFormat="1" applyFont="1" applyFill="1" applyBorder="1" applyAlignment="1">
      <alignment horizontal="center" vertical="center"/>
    </xf>
    <xf numFmtId="176" fontId="41" fillId="11" borderId="32" xfId="1" applyFont="1" applyFill="1" applyBorder="1" applyAlignment="1">
      <alignment horizontal="center" vertical="center" wrapText="1"/>
    </xf>
    <xf numFmtId="49" fontId="27" fillId="12" borderId="3" xfId="1" applyNumberFormat="1" applyFont="1" applyFill="1" applyBorder="1" applyAlignment="1">
      <alignment horizontal="center" vertical="center"/>
    </xf>
    <xf numFmtId="176" fontId="37" fillId="12" borderId="32" xfId="1" applyFont="1" applyFill="1" applyBorder="1" applyAlignment="1">
      <alignment horizontal="center" vertical="center" wrapText="1"/>
    </xf>
    <xf numFmtId="49" fontId="27" fillId="0" borderId="3" xfId="1" applyNumberFormat="1" applyFont="1" applyFill="1" applyBorder="1" applyAlignment="1">
      <alignment horizontal="center" vertical="center"/>
    </xf>
    <xf numFmtId="40" fontId="27" fillId="0" borderId="3" xfId="1" applyNumberFormat="1" applyFont="1" applyFill="1" applyBorder="1" applyAlignment="1">
      <alignment horizontal="center" vertical="center"/>
    </xf>
    <xf numFmtId="176" fontId="37" fillId="0" borderId="3" xfId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49" fontId="25" fillId="0" borderId="3" xfId="1" applyNumberFormat="1" applyFont="1" applyFill="1" applyBorder="1" applyAlignment="1">
      <alignment horizontal="center" vertical="center"/>
    </xf>
    <xf numFmtId="40" fontId="25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19" fillId="0" borderId="33" xfId="0" applyFont="1" applyBorder="1" applyAlignment="1">
      <alignment horizontal="center" vertical="center"/>
    </xf>
    <xf numFmtId="49" fontId="25" fillId="0" borderId="20" xfId="1" applyNumberFormat="1" applyFont="1" applyFill="1" applyBorder="1" applyAlignment="1">
      <alignment horizontal="center" vertical="center"/>
    </xf>
    <xf numFmtId="40" fontId="25" fillId="0" borderId="20" xfId="1" applyNumberFormat="1" applyFont="1" applyFill="1" applyBorder="1" applyAlignment="1">
      <alignment horizontal="center" vertical="center"/>
    </xf>
    <xf numFmtId="176" fontId="41" fillId="0" borderId="34" xfId="1" applyFont="1" applyFill="1" applyBorder="1" applyAlignment="1">
      <alignment horizontal="center" vertical="center"/>
    </xf>
    <xf numFmtId="49" fontId="25" fillId="13" borderId="20" xfId="1" applyNumberFormat="1" applyFont="1" applyFill="1" applyBorder="1" applyAlignment="1">
      <alignment horizontal="center" vertical="center"/>
    </xf>
    <xf numFmtId="176" fontId="41" fillId="13" borderId="34" xfId="1" applyFont="1" applyFill="1" applyBorder="1" applyAlignment="1">
      <alignment horizontal="center" vertical="center"/>
    </xf>
    <xf numFmtId="0" fontId="25" fillId="13" borderId="20" xfId="1" applyNumberFormat="1" applyFont="1" applyFill="1" applyBorder="1" applyAlignment="1">
      <alignment horizontal="center" vertical="center"/>
    </xf>
    <xf numFmtId="0" fontId="41" fillId="13" borderId="34" xfId="1" applyNumberFormat="1" applyFont="1" applyFill="1" applyBorder="1" applyAlignment="1">
      <alignment horizontal="center" vertical="center"/>
    </xf>
    <xf numFmtId="49" fontId="22" fillId="5" borderId="9" xfId="1" applyNumberFormat="1" applyFont="1" applyFill="1" applyBorder="1" applyAlignment="1">
      <alignment horizontal="center" vertical="center"/>
    </xf>
    <xf numFmtId="176" fontId="41" fillId="5" borderId="35" xfId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42" fillId="0" borderId="0" xfId="0" applyFont="1" applyAlignment="1">
      <alignment horizontal="center" vertical="center"/>
    </xf>
    <xf numFmtId="185" fontId="42" fillId="0" borderId="0" xfId="2" applyNumberFormat="1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185" fontId="43" fillId="0" borderId="0" xfId="2" applyNumberFormat="1" applyFont="1" applyAlignment="1">
      <alignment horizontal="center" vertical="center"/>
    </xf>
    <xf numFmtId="57" fontId="43" fillId="0" borderId="0" xfId="0" applyNumberFormat="1" applyFont="1" applyAlignment="1">
      <alignment horizontal="center" vertical="center"/>
    </xf>
    <xf numFmtId="0" fontId="43" fillId="15" borderId="0" xfId="0" applyFont="1" applyFill="1" applyAlignment="1">
      <alignment horizontal="center" vertical="center"/>
    </xf>
    <xf numFmtId="0" fontId="43" fillId="16" borderId="3" xfId="0" applyFont="1" applyFill="1" applyBorder="1" applyAlignment="1">
      <alignment horizontal="center" vertical="center"/>
    </xf>
    <xf numFmtId="185" fontId="43" fillId="16" borderId="3" xfId="2" applyNumberFormat="1" applyFont="1" applyFill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43" fontId="42" fillId="0" borderId="3" xfId="1" applyNumberFormat="1" applyFont="1" applyBorder="1" applyAlignment="1">
      <alignment horizontal="center" vertical="center"/>
    </xf>
    <xf numFmtId="185" fontId="42" fillId="0" borderId="3" xfId="2" applyNumberFormat="1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42" fillId="17" borderId="3" xfId="0" applyFont="1" applyFill="1" applyBorder="1" applyAlignment="1">
      <alignment horizontal="center" vertical="center"/>
    </xf>
    <xf numFmtId="43" fontId="42" fillId="17" borderId="3" xfId="1" applyNumberFormat="1" applyFont="1" applyFill="1" applyBorder="1" applyAlignment="1">
      <alignment horizontal="center" vertical="center"/>
    </xf>
    <xf numFmtId="185" fontId="42" fillId="17" borderId="3" xfId="2" applyNumberFormat="1" applyFont="1" applyFill="1" applyBorder="1" applyAlignment="1">
      <alignment horizontal="center" vertical="center"/>
    </xf>
    <xf numFmtId="0" fontId="43" fillId="18" borderId="0" xfId="0" applyFont="1" applyFill="1" applyAlignment="1">
      <alignment horizontal="center" vertical="center"/>
    </xf>
    <xf numFmtId="0" fontId="43" fillId="19" borderId="3" xfId="0" applyFont="1" applyFill="1" applyBorder="1" applyAlignment="1">
      <alignment horizontal="center" vertical="center"/>
    </xf>
    <xf numFmtId="185" fontId="43" fillId="19" borderId="3" xfId="2" applyNumberFormat="1" applyFont="1" applyFill="1" applyBorder="1" applyAlignment="1">
      <alignment horizontal="center" vertical="center"/>
    </xf>
    <xf numFmtId="176" fontId="42" fillId="0" borderId="3" xfId="1" applyFont="1" applyBorder="1" applyAlignment="1">
      <alignment horizontal="center" vertical="center"/>
    </xf>
    <xf numFmtId="176" fontId="42" fillId="17" borderId="3" xfId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44" fillId="0" borderId="0" xfId="0" applyFont="1"/>
    <xf numFmtId="0" fontId="44" fillId="0" borderId="0" xfId="0" applyFont="1" applyAlignment="1">
      <alignment vertical="top"/>
    </xf>
    <xf numFmtId="0" fontId="0" fillId="4" borderId="3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4" fontId="44" fillId="3" borderId="0" xfId="0" applyNumberFormat="1" applyFont="1" applyFill="1" applyAlignment="1">
      <alignment vertical="top"/>
    </xf>
    <xf numFmtId="0" fontId="45" fillId="0" borderId="0" xfId="0" applyFont="1" applyAlignment="1">
      <alignment horizontal="left" vertical="center"/>
    </xf>
    <xf numFmtId="0" fontId="46" fillId="20" borderId="0" xfId="0" applyFont="1" applyFill="1" applyAlignment="1" applyProtection="1">
      <alignment horizontal="left" vertical="center"/>
      <protection locked="0"/>
    </xf>
    <xf numFmtId="186" fontId="45" fillId="0" borderId="0" xfId="0" applyNumberFormat="1" applyFont="1" applyAlignment="1">
      <alignment horizontal="right" vertical="center"/>
    </xf>
    <xf numFmtId="0" fontId="45" fillId="0" borderId="0" xfId="0" applyFont="1" applyAlignment="1">
      <alignment horizontal="right" vertical="center"/>
    </xf>
    <xf numFmtId="0" fontId="47" fillId="21" borderId="3" xfId="0" applyFont="1" applyFill="1" applyBorder="1" applyAlignment="1" applyProtection="1">
      <alignment horizontal="center" vertical="center"/>
      <protection locked="0"/>
    </xf>
    <xf numFmtId="186" fontId="47" fillId="21" borderId="3" xfId="0" applyNumberFormat="1" applyFont="1" applyFill="1" applyBorder="1" applyAlignment="1" applyProtection="1">
      <alignment horizontal="center" vertical="center"/>
      <protection locked="0"/>
    </xf>
    <xf numFmtId="0" fontId="48" fillId="22" borderId="36" xfId="0" applyFont="1" applyFill="1" applyBorder="1" applyAlignment="1" applyProtection="1">
      <alignment horizontal="center" vertical="center"/>
      <protection locked="0"/>
    </xf>
    <xf numFmtId="0" fontId="47" fillId="20" borderId="3" xfId="0" applyFont="1" applyFill="1" applyBorder="1" applyAlignment="1" applyProtection="1">
      <alignment horizontal="left" vertical="center"/>
      <protection locked="0"/>
    </xf>
    <xf numFmtId="0" fontId="47" fillId="20" borderId="3" xfId="0" applyFont="1" applyFill="1" applyBorder="1" applyAlignment="1" applyProtection="1">
      <alignment horizontal="center" vertical="center"/>
      <protection locked="0"/>
    </xf>
    <xf numFmtId="43" fontId="47" fillId="0" borderId="3" xfId="0" applyNumberFormat="1" applyFont="1" applyBorder="1" applyAlignment="1">
      <alignment horizontal="right" vertical="center"/>
    </xf>
    <xf numFmtId="43" fontId="47" fillId="0" borderId="3" xfId="0" applyNumberFormat="1" applyFont="1" applyBorder="1" applyAlignment="1" applyProtection="1">
      <alignment horizontal="right" vertical="center"/>
      <protection locked="0"/>
    </xf>
    <xf numFmtId="187" fontId="48" fillId="23" borderId="30" xfId="0" applyNumberFormat="1" applyFont="1" applyFill="1" applyBorder="1" applyAlignment="1" applyProtection="1">
      <alignment horizontal="right" vertical="center"/>
      <protection locked="0"/>
    </xf>
    <xf numFmtId="0" fontId="49" fillId="20" borderId="0" xfId="0" applyFont="1" applyFill="1" applyAlignment="1" applyProtection="1">
      <alignment horizontal="left" vertical="center"/>
      <protection locked="0"/>
    </xf>
    <xf numFmtId="0" fontId="50" fillId="21" borderId="3" xfId="0" applyFont="1" applyFill="1" applyBorder="1" applyAlignment="1" applyProtection="1">
      <alignment horizontal="center" vertical="center"/>
      <protection locked="0"/>
    </xf>
    <xf numFmtId="186" fontId="50" fillId="21" borderId="3" xfId="0" applyNumberFormat="1" applyFont="1" applyFill="1" applyBorder="1" applyAlignment="1" applyProtection="1">
      <alignment horizontal="center" vertical="center"/>
      <protection locked="0"/>
    </xf>
    <xf numFmtId="0" fontId="51" fillId="22" borderId="36" xfId="0" applyFont="1" applyFill="1" applyBorder="1" applyAlignment="1" applyProtection="1">
      <alignment horizontal="center" vertical="center"/>
      <protection locked="0"/>
    </xf>
    <xf numFmtId="0" fontId="50" fillId="20" borderId="3" xfId="0" applyFont="1" applyFill="1" applyBorder="1" applyAlignment="1" applyProtection="1">
      <alignment horizontal="left" vertical="center"/>
      <protection locked="0"/>
    </xf>
    <xf numFmtId="0" fontId="50" fillId="20" borderId="3" xfId="0" applyFont="1" applyFill="1" applyBorder="1" applyAlignment="1" applyProtection="1">
      <alignment horizontal="center" vertical="center"/>
      <protection locked="0"/>
    </xf>
    <xf numFmtId="43" fontId="50" fillId="0" borderId="3" xfId="0" applyNumberFormat="1" applyFont="1" applyBorder="1" applyAlignment="1">
      <alignment horizontal="right" vertical="center"/>
    </xf>
    <xf numFmtId="43" fontId="50" fillId="0" borderId="3" xfId="0" applyNumberFormat="1" applyFont="1" applyBorder="1" applyAlignment="1" applyProtection="1">
      <alignment horizontal="right" vertical="center"/>
      <protection locked="0"/>
    </xf>
    <xf numFmtId="187" fontId="51" fillId="23" borderId="30" xfId="0" applyNumberFormat="1" applyFont="1" applyFill="1" applyBorder="1" applyAlignment="1" applyProtection="1">
      <alignment horizontal="right" vertical="center"/>
      <protection locked="0"/>
    </xf>
    <xf numFmtId="0" fontId="45" fillId="0" borderId="0" xfId="0" applyFont="1" applyAlignment="1">
      <alignment horizontal="center" vertical="center"/>
    </xf>
    <xf numFmtId="0" fontId="47" fillId="0" borderId="3" xfId="0" applyFont="1" applyBorder="1" applyAlignment="1" applyProtection="1">
      <alignment horizontal="left" vertical="center"/>
      <protection locked="0"/>
    </xf>
    <xf numFmtId="0" fontId="47" fillId="0" borderId="3" xfId="0" applyFont="1" applyBorder="1" applyAlignment="1" applyProtection="1">
      <alignment horizontal="center" vertical="center"/>
      <protection locked="0"/>
    </xf>
    <xf numFmtId="0" fontId="47" fillId="0" borderId="3" xfId="0" applyFont="1" applyBorder="1" applyAlignment="1">
      <alignment horizontal="right" vertical="center"/>
    </xf>
    <xf numFmtId="188" fontId="47" fillId="0" borderId="3" xfId="0" applyNumberFormat="1" applyFont="1" applyBorder="1" applyAlignment="1" applyProtection="1">
      <alignment horizontal="right" vertical="center"/>
      <protection locked="0"/>
    </xf>
    <xf numFmtId="43" fontId="45" fillId="0" borderId="0" xfId="0" applyNumberFormat="1" applyFont="1" applyAlignment="1">
      <alignment horizontal="right" vertical="center"/>
    </xf>
    <xf numFmtId="0" fontId="50" fillId="0" borderId="3" xfId="0" applyFont="1" applyBorder="1" applyAlignment="1" applyProtection="1">
      <alignment horizontal="left" vertical="center"/>
      <protection locked="0"/>
    </xf>
    <xf numFmtId="0" fontId="50" fillId="0" borderId="3" xfId="0" applyFont="1" applyBorder="1" applyAlignment="1" applyProtection="1">
      <alignment horizontal="center" vertical="center"/>
      <protection locked="0"/>
    </xf>
    <xf numFmtId="0" fontId="50" fillId="0" borderId="3" xfId="0" applyFont="1" applyBorder="1" applyAlignment="1">
      <alignment horizontal="right" vertical="center"/>
    </xf>
    <xf numFmtId="188" fontId="50" fillId="0" borderId="3" xfId="0" applyNumberFormat="1" applyFont="1" applyBorder="1" applyAlignment="1" applyProtection="1">
      <alignment horizontal="right" vertical="center"/>
      <protection locked="0"/>
    </xf>
    <xf numFmtId="176" fontId="27" fillId="14" borderId="3" xfId="1" quotePrefix="1" applyFont="1" applyFill="1" applyBorder="1" applyAlignment="1">
      <alignment horizontal="center" vertical="center"/>
    </xf>
    <xf numFmtId="0" fontId="49" fillId="24" borderId="0" xfId="0" applyFont="1" applyFill="1" applyAlignment="1" applyProtection="1">
      <alignment horizontal="left" vertical="center"/>
      <protection locked="0"/>
    </xf>
    <xf numFmtId="0" fontId="50" fillId="25" borderId="3" xfId="0" applyFont="1" applyFill="1" applyBorder="1" applyAlignment="1" applyProtection="1">
      <alignment horizontal="center" vertical="center"/>
      <protection locked="0"/>
    </xf>
    <xf numFmtId="186" fontId="50" fillId="25" borderId="3" xfId="0" applyNumberFormat="1" applyFont="1" applyFill="1" applyBorder="1" applyAlignment="1" applyProtection="1">
      <alignment horizontal="center" vertical="center"/>
      <protection locked="0"/>
    </xf>
    <xf numFmtId="0" fontId="51" fillId="26" borderId="36" xfId="0" applyFont="1" applyFill="1" applyBorder="1" applyAlignment="1" applyProtection="1">
      <alignment horizontal="center" vertical="center"/>
      <protection locked="0"/>
    </xf>
    <xf numFmtId="0" fontId="50" fillId="24" borderId="3" xfId="0" applyFont="1" applyFill="1" applyBorder="1" applyAlignment="1" applyProtection="1">
      <alignment horizontal="left" vertical="center"/>
      <protection locked="0"/>
    </xf>
    <xf numFmtId="0" fontId="50" fillId="24" borderId="3" xfId="0" applyFont="1" applyFill="1" applyBorder="1" applyAlignment="1" applyProtection="1">
      <alignment horizontal="center" vertical="center"/>
      <protection locked="0"/>
    </xf>
    <xf numFmtId="187" fontId="51" fillId="27" borderId="30" xfId="0" applyNumberFormat="1" applyFont="1" applyFill="1" applyBorder="1" applyAlignment="1" applyProtection="1">
      <alignment horizontal="right" vertical="center"/>
      <protection locked="0"/>
    </xf>
    <xf numFmtId="0" fontId="18" fillId="28" borderId="3" xfId="0" applyFont="1" applyFill="1" applyBorder="1" applyAlignment="1">
      <alignment horizontal="center" vertical="center" wrapText="1"/>
    </xf>
    <xf numFmtId="4" fontId="2" fillId="3" borderId="3" xfId="0" applyNumberFormat="1" applyFont="1" applyFill="1" applyBorder="1"/>
    <xf numFmtId="176" fontId="20" fillId="0" borderId="14" xfId="1" applyFont="1" applyBorder="1" applyAlignment="1">
      <alignment horizontal="center" vertical="center"/>
    </xf>
    <xf numFmtId="176" fontId="21" fillId="0" borderId="14" xfId="1" applyFont="1" applyBorder="1" applyAlignment="1">
      <alignment horizontal="center" vertical="center"/>
    </xf>
    <xf numFmtId="181" fontId="19" fillId="0" borderId="17" xfId="0" applyNumberFormat="1" applyFont="1" applyBorder="1" applyAlignment="1">
      <alignment horizontal="center" vertical="center"/>
    </xf>
    <xf numFmtId="181" fontId="19" fillId="0" borderId="29" xfId="0" applyNumberFormat="1" applyFont="1" applyBorder="1" applyAlignment="1">
      <alignment horizontal="center" vertical="center"/>
    </xf>
    <xf numFmtId="181" fontId="19" fillId="0" borderId="30" xfId="0" applyNumberFormat="1" applyFont="1" applyBorder="1" applyAlignment="1">
      <alignment horizontal="center" vertical="center"/>
    </xf>
    <xf numFmtId="176" fontId="23" fillId="5" borderId="27" xfId="1" applyFont="1" applyFill="1" applyBorder="1" applyAlignment="1">
      <alignment horizontal="center" vertical="center"/>
    </xf>
    <xf numFmtId="176" fontId="22" fillId="5" borderId="28" xfId="1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176" fontId="25" fillId="0" borderId="22" xfId="1" applyFont="1" applyBorder="1" applyAlignment="1">
      <alignment horizontal="center" vertical="center"/>
    </xf>
    <xf numFmtId="176" fontId="25" fillId="0" borderId="0" xfId="1" applyFont="1" applyBorder="1" applyAlignment="1">
      <alignment horizontal="center" vertical="center"/>
    </xf>
    <xf numFmtId="176" fontId="25" fillId="0" borderId="2" xfId="1" applyFont="1" applyBorder="1" applyAlignment="1">
      <alignment horizontal="center" vertical="center"/>
    </xf>
    <xf numFmtId="38" fontId="27" fillId="2" borderId="20" xfId="1" applyNumberFormat="1" applyFont="1" applyFill="1" applyBorder="1" applyAlignment="1">
      <alignment horizontal="center" vertical="center"/>
    </xf>
    <xf numFmtId="38" fontId="27" fillId="2" borderId="13" xfId="1" applyNumberFormat="1" applyFont="1" applyFill="1" applyBorder="1" applyAlignment="1">
      <alignment horizontal="center" vertical="center"/>
    </xf>
    <xf numFmtId="38" fontId="27" fillId="12" borderId="7" xfId="1" applyNumberFormat="1" applyFont="1" applyFill="1" applyBorder="1" applyAlignment="1">
      <alignment horizontal="center" vertical="center"/>
    </xf>
    <xf numFmtId="38" fontId="27" fillId="0" borderId="20" xfId="1" applyNumberFormat="1" applyFont="1" applyFill="1" applyBorder="1" applyAlignment="1">
      <alignment horizontal="center" vertical="center"/>
    </xf>
    <xf numFmtId="38" fontId="27" fillId="0" borderId="21" xfId="1" applyNumberFormat="1" applyFont="1" applyFill="1" applyBorder="1" applyAlignment="1">
      <alignment horizontal="center" vertical="center"/>
    </xf>
    <xf numFmtId="38" fontId="27" fillId="0" borderId="13" xfId="1" applyNumberFormat="1" applyFont="1" applyFill="1" applyBorder="1" applyAlignment="1">
      <alignment horizontal="center" vertical="center"/>
    </xf>
    <xf numFmtId="176" fontId="25" fillId="0" borderId="20" xfId="1" applyFont="1" applyBorder="1" applyAlignment="1">
      <alignment horizontal="center" vertical="center"/>
    </xf>
    <xf numFmtId="176" fontId="25" fillId="0" borderId="21" xfId="1" applyFont="1" applyBorder="1" applyAlignment="1">
      <alignment horizontal="center" vertical="center"/>
    </xf>
    <xf numFmtId="176" fontId="25" fillId="0" borderId="23" xfId="1" applyFont="1" applyBorder="1" applyAlignment="1">
      <alignment horizontal="center" vertical="center"/>
    </xf>
    <xf numFmtId="176" fontId="25" fillId="0" borderId="24" xfId="1" applyFont="1" applyBorder="1" applyAlignment="1">
      <alignment horizontal="center" vertical="center"/>
    </xf>
    <xf numFmtId="176" fontId="25" fillId="0" borderId="25" xfId="1" applyFont="1" applyBorder="1" applyAlignment="1">
      <alignment horizontal="center" vertical="center"/>
    </xf>
    <xf numFmtId="176" fontId="30" fillId="2" borderId="20" xfId="1" applyFont="1" applyFill="1" applyBorder="1" applyAlignment="1">
      <alignment horizontal="center" vertical="center"/>
    </xf>
    <xf numFmtId="176" fontId="30" fillId="2" borderId="13" xfId="1" applyFont="1" applyFill="1" applyBorder="1" applyAlignment="1">
      <alignment horizontal="center" vertical="center"/>
    </xf>
    <xf numFmtId="176" fontId="30" fillId="12" borderId="20" xfId="1" applyFont="1" applyFill="1" applyBorder="1" applyAlignment="1">
      <alignment horizontal="center" vertical="center"/>
    </xf>
    <xf numFmtId="176" fontId="32" fillId="0" borderId="20" xfId="1" applyFont="1" applyFill="1" applyBorder="1" applyAlignment="1">
      <alignment horizontal="center" vertical="center"/>
    </xf>
    <xf numFmtId="176" fontId="32" fillId="0" borderId="21" xfId="1" applyFont="1" applyFill="1" applyBorder="1" applyAlignment="1">
      <alignment horizontal="center" vertical="center"/>
    </xf>
    <xf numFmtId="176" fontId="32" fillId="0" borderId="13" xfId="1" applyFont="1" applyFill="1" applyBorder="1" applyAlignment="1">
      <alignment horizontal="center" vertical="center"/>
    </xf>
    <xf numFmtId="176" fontId="26" fillId="0" borderId="20" xfId="1" applyFont="1" applyBorder="1" applyAlignment="1">
      <alignment horizontal="center" vertical="center"/>
    </xf>
    <xf numFmtId="176" fontId="26" fillId="0" borderId="21" xfId="1" applyFont="1" applyBorder="1" applyAlignment="1">
      <alignment horizontal="center" vertical="center"/>
    </xf>
    <xf numFmtId="176" fontId="26" fillId="0" borderId="13" xfId="1" applyFont="1" applyBorder="1" applyAlignment="1">
      <alignment horizontal="center" vertical="center"/>
    </xf>
    <xf numFmtId="176" fontId="30" fillId="12" borderId="3" xfId="1" applyFont="1" applyFill="1" applyBorder="1" applyAlignment="1">
      <alignment horizontal="center" vertical="center" wrapText="1"/>
    </xf>
    <xf numFmtId="0" fontId="18" fillId="28" borderId="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0" xfId="13" applyFont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4" fillId="2" borderId="2" xfId="13" applyFont="1" applyFill="1" applyBorder="1" applyAlignment="1">
      <alignment horizontal="center" vertical="center" wrapText="1"/>
    </xf>
  </cellXfs>
  <cellStyles count="20">
    <cellStyle name="Comma [0] 2" xfId="3" xr:uid="{00000000-0005-0000-0000-000031000000}"/>
    <cellStyle name="Comma 3 2" xfId="4" xr:uid="{00000000-0005-0000-0000-000032000000}"/>
    <cellStyle name="Normal" xfId="5" xr:uid="{00000000-0005-0000-0000-000033000000}"/>
    <cellStyle name="Normal 2" xfId="6" xr:uid="{00000000-0005-0000-0000-000034000000}"/>
    <cellStyle name="Normal 3" xfId="7" xr:uid="{00000000-0005-0000-0000-000035000000}"/>
    <cellStyle name="Percent 5" xfId="8" xr:uid="{00000000-0005-0000-0000-000036000000}"/>
    <cellStyle name="百分比" xfId="2" builtinId="5"/>
    <cellStyle name="百分比 2" xfId="9" xr:uid="{00000000-0005-0000-0000-000037000000}"/>
    <cellStyle name="常规" xfId="0" builtinId="0"/>
    <cellStyle name="常规 2" xfId="10" xr:uid="{00000000-0005-0000-0000-000038000000}"/>
    <cellStyle name="常规 2 3" xfId="11" xr:uid="{00000000-0005-0000-0000-000039000000}"/>
    <cellStyle name="常规 3" xfId="12" xr:uid="{00000000-0005-0000-0000-00003A000000}"/>
    <cellStyle name="常规 3 2" xfId="13" xr:uid="{00000000-0005-0000-0000-00003B000000}"/>
    <cellStyle name="常规 4" xfId="14" xr:uid="{00000000-0005-0000-0000-00003C000000}"/>
    <cellStyle name="常规 5" xfId="15" xr:uid="{00000000-0005-0000-0000-00003D000000}"/>
    <cellStyle name="千位分隔" xfId="1" builtinId="3"/>
    <cellStyle name="千位分隔 2" xfId="16" xr:uid="{00000000-0005-0000-0000-00003E000000}"/>
    <cellStyle name="千位分隔 3" xfId="17" xr:uid="{00000000-0005-0000-0000-00003F000000}"/>
    <cellStyle name="千位分隔 3 2" xfId="18" xr:uid="{00000000-0005-0000-0000-000040000000}"/>
    <cellStyle name="千位分隔 4" xfId="19" xr:uid="{00000000-0005-0000-0000-000041000000}"/>
  </cellStyles>
  <dxfs count="0"/>
  <tableStyles count="0" defaultTableStyle="TableStyleMedium2" defaultPivotStyle="PivotStyleLight16"/>
  <colors>
    <mruColors>
      <color rgb="FFFF7C80"/>
      <color rgb="FFFF5050"/>
      <color rgb="FFA50021"/>
      <color rgb="FFDFABB7"/>
      <color rgb="FFC00000"/>
      <color rgb="FF996633"/>
      <color rgb="FFE9CCA1"/>
      <color rgb="FF9933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54610</xdr:colOff>
      <xdr:row>8</xdr:row>
      <xdr:rowOff>150495</xdr:rowOff>
    </xdr:from>
    <xdr:to>
      <xdr:col>20</xdr:col>
      <xdr:colOff>121284</xdr:colOff>
      <xdr:row>13</xdr:row>
      <xdr:rowOff>179070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1450" y="1645920"/>
          <a:ext cx="6238240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544287</xdr:colOff>
      <xdr:row>51</xdr:row>
      <xdr:rowOff>20411</xdr:rowOff>
    </xdr:from>
    <xdr:to>
      <xdr:col>27</xdr:col>
      <xdr:colOff>273393</xdr:colOff>
      <xdr:row>60</xdr:row>
      <xdr:rowOff>134482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2555" y="9669145"/>
          <a:ext cx="12510135" cy="1828165"/>
        </a:xfrm>
        <a:prstGeom prst="rect">
          <a:avLst/>
        </a:prstGeom>
      </xdr:spPr>
    </xdr:pic>
    <xdr:clientData/>
  </xdr:twoCellAnchor>
  <xdr:twoCellAnchor editAs="oneCell">
    <xdr:from>
      <xdr:col>9</xdr:col>
      <xdr:colOff>244949</xdr:colOff>
      <xdr:row>90</xdr:row>
      <xdr:rowOff>163292</xdr:rowOff>
    </xdr:from>
    <xdr:to>
      <xdr:col>19</xdr:col>
      <xdr:colOff>419628</xdr:colOff>
      <xdr:row>96</xdr:row>
      <xdr:rowOff>69380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82835" y="17212945"/>
          <a:ext cx="7469505" cy="1039495"/>
        </a:xfrm>
        <a:prstGeom prst="rect">
          <a:avLst/>
        </a:prstGeom>
      </xdr:spPr>
    </xdr:pic>
    <xdr:clientData/>
  </xdr:twoCellAnchor>
  <xdr:twoCellAnchor editAs="oneCell">
    <xdr:from>
      <xdr:col>9</xdr:col>
      <xdr:colOff>462652</xdr:colOff>
      <xdr:row>136</xdr:row>
      <xdr:rowOff>54435</xdr:rowOff>
    </xdr:from>
    <xdr:to>
      <xdr:col>21</xdr:col>
      <xdr:colOff>568080</xdr:colOff>
      <xdr:row>142</xdr:row>
      <xdr:rowOff>187626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D8249E4-5C23-4F99-BA1F-B8CA08015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9" y="25853578"/>
          <a:ext cx="8269714" cy="1276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21</xdr:col>
      <xdr:colOff>2944</xdr:colOff>
      <xdr:row>91</xdr:row>
      <xdr:rowOff>93797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D0E1335-F9C7-4825-A4C4-BF842E3C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938" y="4865688"/>
          <a:ext cx="14552381" cy="11619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12</xdr:rowOff>
    </xdr:from>
    <xdr:to>
      <xdr:col>7</xdr:col>
      <xdr:colOff>883725</xdr:colOff>
      <xdr:row>54</xdr:row>
      <xdr:rowOff>65080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84B438C-C92F-475A-9CB9-E71F765B8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938" y="2819412"/>
          <a:ext cx="7656000" cy="6761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5"/>
  <sheetViews>
    <sheetView topLeftCell="A128" zoomScale="70" zoomScaleNormal="70" workbookViewId="0">
      <selection activeCell="K145" sqref="K145"/>
    </sheetView>
  </sheetViews>
  <sheetFormatPr defaultColWidth="9" defaultRowHeight="14"/>
  <cols>
    <col min="2" max="2" width="32.5" customWidth="1"/>
    <col min="5" max="5" width="15.83203125" customWidth="1"/>
    <col min="6" max="6" width="18.33203125" customWidth="1"/>
    <col min="9" max="9" width="16.08203125" customWidth="1"/>
    <col min="11" max="11" width="14.75" customWidth="1"/>
  </cols>
  <sheetData>
    <row r="1" spans="1:9" ht="14.25" customHeight="1">
      <c r="A1" s="225"/>
      <c r="B1" s="226" t="s">
        <v>0</v>
      </c>
    </row>
    <row r="2" spans="1:9" ht="14.25" customHeight="1">
      <c r="A2" s="225"/>
      <c r="B2" s="226" t="s">
        <v>1</v>
      </c>
      <c r="C2" s="246"/>
      <c r="F2" s="225"/>
      <c r="G2" s="246"/>
    </row>
    <row r="3" spans="1:9" ht="14.25" customHeight="1">
      <c r="A3" s="225"/>
      <c r="B3" s="226" t="s">
        <v>2</v>
      </c>
      <c r="C3" s="246"/>
      <c r="F3" s="225"/>
      <c r="G3" s="246"/>
    </row>
    <row r="4" spans="1:9" ht="15" customHeight="1">
      <c r="B4" s="229" t="s">
        <v>3</v>
      </c>
      <c r="C4" s="229" t="s">
        <v>4</v>
      </c>
      <c r="D4" s="229" t="s">
        <v>5</v>
      </c>
      <c r="E4" s="229" t="s">
        <v>6</v>
      </c>
      <c r="F4" s="229" t="s">
        <v>3</v>
      </c>
      <c r="G4" s="229" t="s">
        <v>4</v>
      </c>
      <c r="H4" s="229" t="s">
        <v>5</v>
      </c>
      <c r="I4" s="229" t="s">
        <v>6</v>
      </c>
    </row>
    <row r="5" spans="1:9" ht="15" customHeight="1">
      <c r="B5" s="247" t="s">
        <v>7</v>
      </c>
      <c r="C5" s="248">
        <v>1</v>
      </c>
      <c r="D5" s="249"/>
      <c r="E5" s="249"/>
      <c r="F5" s="247" t="s">
        <v>8</v>
      </c>
      <c r="G5" s="248"/>
      <c r="H5" s="250"/>
      <c r="I5" s="250"/>
    </row>
    <row r="6" spans="1:9" ht="15" customHeight="1">
      <c r="B6" s="247" t="s">
        <v>9</v>
      </c>
      <c r="C6" s="248">
        <v>2</v>
      </c>
      <c r="D6" s="234">
        <v>0</v>
      </c>
      <c r="E6" s="234">
        <v>2696447.77</v>
      </c>
      <c r="F6" s="247" t="s">
        <v>10</v>
      </c>
      <c r="G6" s="248">
        <v>50</v>
      </c>
      <c r="H6" s="234">
        <v>0</v>
      </c>
      <c r="I6" s="234">
        <v>0</v>
      </c>
    </row>
    <row r="7" spans="1:9" ht="15" customHeight="1">
      <c r="B7" s="247" t="s">
        <v>11</v>
      </c>
      <c r="C7" s="248">
        <v>3</v>
      </c>
      <c r="D7" s="234">
        <v>0</v>
      </c>
      <c r="E7" s="234">
        <v>0</v>
      </c>
      <c r="F7" s="247" t="s">
        <v>12</v>
      </c>
      <c r="G7" s="248">
        <v>51</v>
      </c>
      <c r="H7" s="234">
        <v>0</v>
      </c>
      <c r="I7" s="234">
        <v>0</v>
      </c>
    </row>
    <row r="8" spans="1:9" ht="15" customHeight="1">
      <c r="B8" s="247" t="s">
        <v>13</v>
      </c>
      <c r="C8" s="248">
        <v>4</v>
      </c>
      <c r="D8" s="234">
        <v>0</v>
      </c>
      <c r="E8" s="234">
        <v>0</v>
      </c>
      <c r="F8" s="247" t="s">
        <v>14</v>
      </c>
      <c r="G8" s="248">
        <v>52</v>
      </c>
      <c r="H8" s="234">
        <v>0</v>
      </c>
      <c r="I8" s="234">
        <v>0</v>
      </c>
    </row>
    <row r="9" spans="1:9" ht="15" customHeight="1">
      <c r="B9" s="247" t="s">
        <v>15</v>
      </c>
      <c r="C9" s="248">
        <v>5</v>
      </c>
      <c r="D9" s="234">
        <v>0</v>
      </c>
      <c r="E9" s="234">
        <v>0</v>
      </c>
      <c r="F9" s="247" t="s">
        <v>16</v>
      </c>
      <c r="G9" s="248">
        <v>53</v>
      </c>
      <c r="H9" s="234">
        <v>0</v>
      </c>
      <c r="I9" s="234">
        <v>29686826.920000002</v>
      </c>
    </row>
    <row r="10" spans="1:9" ht="15" customHeight="1">
      <c r="B10" s="247" t="s">
        <v>17</v>
      </c>
      <c r="C10" s="248">
        <v>6</v>
      </c>
      <c r="D10" s="234">
        <v>0</v>
      </c>
      <c r="E10" s="234">
        <v>0</v>
      </c>
      <c r="F10" s="247" t="s">
        <v>18</v>
      </c>
      <c r="G10" s="248">
        <v>54</v>
      </c>
      <c r="H10" s="234">
        <v>0</v>
      </c>
      <c r="I10" s="234">
        <v>0</v>
      </c>
    </row>
    <row r="11" spans="1:9" ht="15" customHeight="1">
      <c r="B11" s="247" t="s">
        <v>19</v>
      </c>
      <c r="C11" s="248">
        <v>7</v>
      </c>
      <c r="D11" s="234">
        <v>0</v>
      </c>
      <c r="E11" s="234">
        <v>0</v>
      </c>
      <c r="F11" s="247" t="s">
        <v>20</v>
      </c>
      <c r="G11" s="248">
        <v>55</v>
      </c>
      <c r="H11" s="234">
        <v>0</v>
      </c>
      <c r="I11" s="234">
        <v>0</v>
      </c>
    </row>
    <row r="12" spans="1:9" ht="15" customHeight="1">
      <c r="B12" s="247" t="s">
        <v>21</v>
      </c>
      <c r="C12" s="248">
        <v>8</v>
      </c>
      <c r="D12" s="234">
        <v>0</v>
      </c>
      <c r="E12" s="234">
        <v>0</v>
      </c>
      <c r="F12" s="247" t="s">
        <v>22</v>
      </c>
      <c r="G12" s="248">
        <v>56</v>
      </c>
      <c r="H12" s="234">
        <v>0</v>
      </c>
      <c r="I12" s="234">
        <v>0</v>
      </c>
    </row>
    <row r="13" spans="1:9" ht="15" customHeight="1">
      <c r="B13" s="247" t="s">
        <v>23</v>
      </c>
      <c r="C13" s="248">
        <v>9</v>
      </c>
      <c r="D13" s="234">
        <v>0</v>
      </c>
      <c r="E13" s="234">
        <v>0</v>
      </c>
      <c r="F13" s="247" t="s">
        <v>24</v>
      </c>
      <c r="G13" s="248">
        <v>57</v>
      </c>
      <c r="H13" s="234">
        <v>0</v>
      </c>
      <c r="I13" s="234">
        <v>-1515953.1</v>
      </c>
    </row>
    <row r="14" spans="1:9" ht="15" customHeight="1">
      <c r="B14" s="247" t="s">
        <v>25</v>
      </c>
      <c r="C14" s="248">
        <v>10</v>
      </c>
      <c r="D14" s="234">
        <v>0</v>
      </c>
      <c r="E14" s="234">
        <v>0</v>
      </c>
      <c r="F14" s="247" t="s">
        <v>26</v>
      </c>
      <c r="G14" s="248">
        <v>58</v>
      </c>
      <c r="H14" s="234">
        <v>0</v>
      </c>
      <c r="I14" s="234">
        <v>0</v>
      </c>
    </row>
    <row r="15" spans="1:9" ht="15" customHeight="1">
      <c r="B15" s="247" t="s">
        <v>27</v>
      </c>
      <c r="C15" s="248">
        <v>11</v>
      </c>
      <c r="D15" s="234">
        <v>0</v>
      </c>
      <c r="E15" s="234">
        <v>0</v>
      </c>
      <c r="F15" s="247"/>
      <c r="G15" s="248">
        <v>59</v>
      </c>
      <c r="H15" s="234"/>
      <c r="I15" s="234"/>
    </row>
    <row r="16" spans="1:9" ht="15" customHeight="1">
      <c r="B16" s="247" t="s">
        <v>28</v>
      </c>
      <c r="C16" s="248">
        <v>12</v>
      </c>
      <c r="D16" s="234">
        <v>0</v>
      </c>
      <c r="E16" s="234">
        <v>0</v>
      </c>
      <c r="F16" s="247" t="s">
        <v>29</v>
      </c>
      <c r="G16" s="248">
        <v>60</v>
      </c>
      <c r="H16" s="234">
        <v>0</v>
      </c>
      <c r="I16" s="234">
        <v>0</v>
      </c>
    </row>
    <row r="17" spans="2:9" ht="15" customHeight="1">
      <c r="B17" s="247" t="s">
        <v>30</v>
      </c>
      <c r="C17" s="248">
        <v>13</v>
      </c>
      <c r="D17" s="234">
        <v>0</v>
      </c>
      <c r="E17" s="234">
        <v>0</v>
      </c>
      <c r="F17" s="247" t="s">
        <v>31</v>
      </c>
      <c r="G17" s="248">
        <v>61</v>
      </c>
      <c r="H17" s="234">
        <v>0</v>
      </c>
      <c r="I17" s="234">
        <v>5029578</v>
      </c>
    </row>
    <row r="18" spans="2:9" ht="15" customHeight="1">
      <c r="B18" s="247" t="s">
        <v>32</v>
      </c>
      <c r="C18" s="248">
        <v>14</v>
      </c>
      <c r="D18" s="234">
        <v>0</v>
      </c>
      <c r="E18" s="234">
        <v>0</v>
      </c>
      <c r="F18" s="247" t="s">
        <v>33</v>
      </c>
      <c r="G18" s="248">
        <v>62</v>
      </c>
      <c r="H18" s="234">
        <v>0</v>
      </c>
      <c r="I18" s="234">
        <v>0</v>
      </c>
    </row>
    <row r="19" spans="2:9" ht="15" customHeight="1">
      <c r="B19" s="247" t="s">
        <v>34</v>
      </c>
      <c r="C19" s="248">
        <v>15</v>
      </c>
      <c r="D19" s="234">
        <v>0</v>
      </c>
      <c r="E19" s="234">
        <v>201612.91</v>
      </c>
      <c r="F19" s="247" t="s">
        <v>35</v>
      </c>
      <c r="G19" s="248">
        <v>63</v>
      </c>
      <c r="H19" s="234">
        <v>0</v>
      </c>
      <c r="I19" s="234">
        <v>0</v>
      </c>
    </row>
    <row r="20" spans="2:9" ht="15" customHeight="1">
      <c r="B20" s="247" t="s">
        <v>36</v>
      </c>
      <c r="C20" s="248">
        <v>16</v>
      </c>
      <c r="D20" s="234">
        <v>0</v>
      </c>
      <c r="E20" s="234">
        <v>2898060.68</v>
      </c>
      <c r="F20" s="247" t="s">
        <v>37</v>
      </c>
      <c r="G20" s="248">
        <v>64</v>
      </c>
      <c r="H20" s="234">
        <v>0</v>
      </c>
      <c r="I20" s="234">
        <v>0</v>
      </c>
    </row>
    <row r="21" spans="2:9" ht="15" customHeight="1">
      <c r="B21" s="247" t="s">
        <v>38</v>
      </c>
      <c r="C21" s="248">
        <v>17</v>
      </c>
      <c r="D21" s="234"/>
      <c r="E21" s="234"/>
      <c r="F21" s="247" t="s">
        <v>39</v>
      </c>
      <c r="G21" s="248">
        <v>65</v>
      </c>
      <c r="H21" s="234">
        <v>0</v>
      </c>
      <c r="I21" s="234">
        <v>33200451.82</v>
      </c>
    </row>
    <row r="22" spans="2:9" ht="15" customHeight="1">
      <c r="B22" s="247" t="s">
        <v>40</v>
      </c>
      <c r="C22" s="248">
        <v>18</v>
      </c>
      <c r="D22" s="234">
        <v>0</v>
      </c>
      <c r="E22" s="234">
        <v>0</v>
      </c>
      <c r="F22" s="247" t="s">
        <v>41</v>
      </c>
      <c r="G22" s="248">
        <v>66</v>
      </c>
      <c r="H22" s="234"/>
      <c r="I22" s="234"/>
    </row>
    <row r="23" spans="2:9" ht="15" customHeight="1">
      <c r="B23" s="247" t="s">
        <v>42</v>
      </c>
      <c r="C23" s="248">
        <v>19</v>
      </c>
      <c r="D23" s="234">
        <v>0</v>
      </c>
      <c r="E23" s="234">
        <v>0</v>
      </c>
      <c r="F23" s="247" t="s">
        <v>43</v>
      </c>
      <c r="G23" s="248">
        <v>67</v>
      </c>
      <c r="H23" s="234">
        <v>0</v>
      </c>
      <c r="I23" s="234">
        <v>0</v>
      </c>
    </row>
    <row r="24" spans="2:9" ht="15" customHeight="1">
      <c r="B24" s="247" t="s">
        <v>44</v>
      </c>
      <c r="C24" s="248">
        <v>20</v>
      </c>
      <c r="D24" s="234">
        <v>0</v>
      </c>
      <c r="E24" s="234">
        <v>0</v>
      </c>
      <c r="F24" s="247" t="s">
        <v>45</v>
      </c>
      <c r="G24" s="248">
        <v>68</v>
      </c>
      <c r="H24" s="234">
        <v>0</v>
      </c>
      <c r="I24" s="234">
        <v>0</v>
      </c>
    </row>
    <row r="25" spans="2:9" ht="15" customHeight="1">
      <c r="B25" s="247" t="s">
        <v>46</v>
      </c>
      <c r="C25" s="248">
        <v>21</v>
      </c>
      <c r="D25" s="234">
        <v>0</v>
      </c>
      <c r="E25" s="234">
        <v>0</v>
      </c>
      <c r="F25" s="247" t="s">
        <v>47</v>
      </c>
      <c r="G25" s="248">
        <v>69</v>
      </c>
      <c r="H25" s="234">
        <v>0</v>
      </c>
      <c r="I25" s="234">
        <v>0</v>
      </c>
    </row>
    <row r="26" spans="2:9" ht="15" customHeight="1">
      <c r="B26" s="247" t="s">
        <v>48</v>
      </c>
      <c r="C26" s="248">
        <v>22</v>
      </c>
      <c r="D26" s="234">
        <v>0</v>
      </c>
      <c r="E26" s="234">
        <v>0</v>
      </c>
      <c r="F26" s="247" t="s">
        <v>49</v>
      </c>
      <c r="G26" s="248">
        <v>70</v>
      </c>
      <c r="H26" s="234">
        <v>0</v>
      </c>
      <c r="I26" s="234">
        <v>0</v>
      </c>
    </row>
    <row r="27" spans="2:9" ht="15" customHeight="1">
      <c r="B27" s="247" t="s">
        <v>50</v>
      </c>
      <c r="C27" s="248">
        <v>23</v>
      </c>
      <c r="D27" s="234">
        <v>0</v>
      </c>
      <c r="E27" s="234">
        <v>0</v>
      </c>
      <c r="F27" s="247" t="s">
        <v>51</v>
      </c>
      <c r="G27" s="248">
        <v>71</v>
      </c>
      <c r="H27" s="234">
        <v>0</v>
      </c>
      <c r="I27" s="234">
        <v>0</v>
      </c>
    </row>
    <row r="28" spans="2:9" ht="15" customHeight="1">
      <c r="B28" s="247" t="s">
        <v>52</v>
      </c>
      <c r="C28" s="248">
        <v>24</v>
      </c>
      <c r="D28" s="234">
        <v>0</v>
      </c>
      <c r="E28" s="234">
        <v>0</v>
      </c>
      <c r="F28" s="247" t="s">
        <v>53</v>
      </c>
      <c r="G28" s="248">
        <v>72</v>
      </c>
      <c r="H28" s="234">
        <v>0</v>
      </c>
      <c r="I28" s="234">
        <v>0</v>
      </c>
    </row>
    <row r="29" spans="2:9" ht="15" customHeight="1">
      <c r="B29" s="247" t="s">
        <v>54</v>
      </c>
      <c r="C29" s="248">
        <v>25</v>
      </c>
      <c r="D29" s="234">
        <v>0</v>
      </c>
      <c r="E29" s="234">
        <v>0</v>
      </c>
      <c r="F29" s="247" t="s">
        <v>55</v>
      </c>
      <c r="G29" s="248">
        <v>73</v>
      </c>
      <c r="H29" s="234">
        <v>0</v>
      </c>
      <c r="I29" s="234">
        <v>0</v>
      </c>
    </row>
    <row r="30" spans="2:9" ht="15" customHeight="1">
      <c r="B30" s="247" t="s">
        <v>56</v>
      </c>
      <c r="C30" s="248">
        <v>26</v>
      </c>
      <c r="D30" s="234">
        <v>0</v>
      </c>
      <c r="E30" s="234">
        <v>0</v>
      </c>
      <c r="F30" s="247" t="s">
        <v>57</v>
      </c>
      <c r="G30" s="248">
        <v>74</v>
      </c>
      <c r="H30" s="234">
        <v>0</v>
      </c>
      <c r="I30" s="234">
        <v>0</v>
      </c>
    </row>
    <row r="31" spans="2:9" ht="15" customHeight="1">
      <c r="B31" s="247" t="s">
        <v>58</v>
      </c>
      <c r="C31" s="248">
        <v>27</v>
      </c>
      <c r="D31" s="234">
        <v>0</v>
      </c>
      <c r="E31" s="234">
        <v>0</v>
      </c>
      <c r="F31" s="247" t="s">
        <v>59</v>
      </c>
      <c r="G31" s="248">
        <v>75</v>
      </c>
      <c r="H31" s="234">
        <v>0</v>
      </c>
      <c r="I31" s="234">
        <v>0</v>
      </c>
    </row>
    <row r="32" spans="2:9" ht="15" customHeight="1">
      <c r="B32" s="247" t="s">
        <v>60</v>
      </c>
      <c r="C32" s="248">
        <v>28</v>
      </c>
      <c r="D32" s="234">
        <v>0</v>
      </c>
      <c r="E32" s="234">
        <v>30302391.140000001</v>
      </c>
      <c r="F32" s="247"/>
      <c r="G32" s="248">
        <v>76</v>
      </c>
      <c r="H32" s="234"/>
      <c r="I32" s="234"/>
    </row>
    <row r="33" spans="1:9" ht="15" customHeight="1">
      <c r="B33" s="247" t="s">
        <v>61</v>
      </c>
      <c r="C33" s="248">
        <v>29</v>
      </c>
      <c r="D33" s="234">
        <v>0</v>
      </c>
      <c r="E33" s="234">
        <v>0</v>
      </c>
      <c r="F33" s="247"/>
      <c r="G33" s="248">
        <v>77</v>
      </c>
      <c r="H33" s="234"/>
      <c r="I33" s="234"/>
    </row>
    <row r="34" spans="1:9" ht="15" customHeight="1">
      <c r="B34" s="247" t="s">
        <v>62</v>
      </c>
      <c r="C34" s="248">
        <v>30</v>
      </c>
      <c r="D34" s="234">
        <v>0</v>
      </c>
      <c r="E34" s="234">
        <v>0</v>
      </c>
      <c r="F34" s="247" t="s">
        <v>63</v>
      </c>
      <c r="G34" s="248">
        <v>78</v>
      </c>
      <c r="H34" s="234">
        <v>0</v>
      </c>
      <c r="I34" s="234">
        <v>33200451.82</v>
      </c>
    </row>
    <row r="35" spans="1:9" ht="15" customHeight="1">
      <c r="B35" s="247" t="s">
        <v>64</v>
      </c>
      <c r="C35" s="248">
        <v>31</v>
      </c>
      <c r="D35" s="234">
        <v>0</v>
      </c>
      <c r="E35" s="234">
        <v>0</v>
      </c>
      <c r="F35" s="247"/>
      <c r="G35" s="248">
        <v>79</v>
      </c>
      <c r="H35" s="234"/>
      <c r="I35" s="234"/>
    </row>
    <row r="36" spans="1:9" ht="15" customHeight="1">
      <c r="B36" s="247" t="s">
        <v>65</v>
      </c>
      <c r="C36" s="248">
        <v>32</v>
      </c>
      <c r="D36" s="234">
        <v>0</v>
      </c>
      <c r="E36" s="234">
        <v>0</v>
      </c>
      <c r="F36" s="247" t="s">
        <v>66</v>
      </c>
      <c r="G36" s="248">
        <v>80</v>
      </c>
      <c r="H36" s="234"/>
      <c r="I36" s="234"/>
    </row>
    <row r="37" spans="1:9" ht="15" customHeight="1">
      <c r="B37" s="247" t="s">
        <v>67</v>
      </c>
      <c r="C37" s="248">
        <v>33</v>
      </c>
      <c r="D37" s="234">
        <v>0</v>
      </c>
      <c r="E37" s="234">
        <v>0</v>
      </c>
      <c r="F37" s="247" t="s">
        <v>68</v>
      </c>
      <c r="G37" s="248">
        <v>81</v>
      </c>
      <c r="H37" s="234">
        <v>0</v>
      </c>
      <c r="I37" s="234">
        <v>0</v>
      </c>
    </row>
    <row r="38" spans="1:9" ht="15" customHeight="1">
      <c r="B38" s="247" t="s">
        <v>69</v>
      </c>
      <c r="C38" s="248">
        <v>34</v>
      </c>
      <c r="D38" s="234">
        <v>0</v>
      </c>
      <c r="E38" s="234">
        <v>0</v>
      </c>
      <c r="F38" s="247" t="s">
        <v>70</v>
      </c>
      <c r="G38" s="248">
        <v>82</v>
      </c>
      <c r="H38" s="234">
        <v>0</v>
      </c>
      <c r="I38" s="234">
        <v>0</v>
      </c>
    </row>
    <row r="39" spans="1:9" ht="15" customHeight="1">
      <c r="B39" s="247" t="s">
        <v>71</v>
      </c>
      <c r="C39" s="248">
        <v>35</v>
      </c>
      <c r="D39" s="234">
        <v>0</v>
      </c>
      <c r="E39" s="234">
        <v>0</v>
      </c>
      <c r="F39" s="247" t="s">
        <v>72</v>
      </c>
      <c r="G39" s="248">
        <v>83</v>
      </c>
      <c r="H39" s="234">
        <v>0</v>
      </c>
      <c r="I39" s="234">
        <v>0</v>
      </c>
    </row>
    <row r="40" spans="1:9" ht="15" customHeight="1">
      <c r="B40" s="247" t="s">
        <v>73</v>
      </c>
      <c r="C40" s="248">
        <v>36</v>
      </c>
      <c r="D40" s="234">
        <v>0</v>
      </c>
      <c r="E40" s="234">
        <v>0</v>
      </c>
      <c r="F40" s="247" t="s">
        <v>74</v>
      </c>
      <c r="G40" s="248">
        <v>84</v>
      </c>
      <c r="H40" s="234">
        <v>0</v>
      </c>
      <c r="I40" s="234">
        <v>0</v>
      </c>
    </row>
    <row r="41" spans="1:9" ht="15" customHeight="1">
      <c r="B41" s="247" t="s">
        <v>75</v>
      </c>
      <c r="C41" s="248">
        <v>37</v>
      </c>
      <c r="D41" s="234">
        <v>0</v>
      </c>
      <c r="E41" s="234">
        <v>0</v>
      </c>
      <c r="F41" s="247" t="s">
        <v>76</v>
      </c>
      <c r="G41" s="248">
        <v>85</v>
      </c>
      <c r="H41" s="234">
        <v>0</v>
      </c>
      <c r="I41" s="234">
        <v>0</v>
      </c>
    </row>
    <row r="42" spans="1:9" ht="15" customHeight="1">
      <c r="B42" s="247" t="s">
        <v>77</v>
      </c>
      <c r="C42" s="248">
        <v>38</v>
      </c>
      <c r="D42" s="234">
        <v>0</v>
      </c>
      <c r="E42" s="234">
        <v>30302391.140000001</v>
      </c>
      <c r="F42" s="247" t="s">
        <v>78</v>
      </c>
      <c r="G42" s="248">
        <v>86</v>
      </c>
      <c r="H42" s="234">
        <v>0</v>
      </c>
      <c r="I42" s="234">
        <v>0</v>
      </c>
    </row>
    <row r="43" spans="1:9" ht="15" customHeight="1">
      <c r="B43" s="247" t="s">
        <v>79</v>
      </c>
      <c r="C43" s="248">
        <v>39</v>
      </c>
      <c r="D43" s="234">
        <v>0</v>
      </c>
      <c r="E43" s="234">
        <v>33200451.82</v>
      </c>
      <c r="F43" s="247" t="s">
        <v>80</v>
      </c>
      <c r="G43" s="248">
        <v>87</v>
      </c>
      <c r="H43" s="234">
        <v>0</v>
      </c>
      <c r="I43" s="234">
        <v>33200451.82</v>
      </c>
    </row>
    <row r="44" spans="1:9" ht="14.25" customHeight="1">
      <c r="H44" s="251"/>
      <c r="I44" s="251"/>
    </row>
    <row r="45" spans="1:9" ht="14.25" customHeight="1">
      <c r="A45" s="225"/>
      <c r="B45" s="237" t="s">
        <v>0</v>
      </c>
    </row>
    <row r="46" spans="1:9" ht="14.25" customHeight="1">
      <c r="A46" s="225"/>
      <c r="B46" s="237" t="s">
        <v>1</v>
      </c>
      <c r="C46" s="246"/>
      <c r="F46" s="225"/>
      <c r="G46" s="246"/>
    </row>
    <row r="47" spans="1:9" ht="14.25" customHeight="1">
      <c r="A47" s="225"/>
      <c r="B47" s="237" t="s">
        <v>81</v>
      </c>
      <c r="C47" s="246"/>
      <c r="F47" s="225"/>
      <c r="G47" s="246"/>
    </row>
    <row r="48" spans="1:9" ht="15" customHeight="1">
      <c r="B48" s="238" t="s">
        <v>3</v>
      </c>
      <c r="C48" s="238" t="s">
        <v>4</v>
      </c>
      <c r="D48" s="238" t="s">
        <v>5</v>
      </c>
      <c r="E48" s="238" t="s">
        <v>6</v>
      </c>
      <c r="F48" s="238" t="s">
        <v>3</v>
      </c>
      <c r="G48" s="238" t="s">
        <v>4</v>
      </c>
      <c r="H48" s="238" t="s">
        <v>5</v>
      </c>
      <c r="I48" s="238" t="s">
        <v>6</v>
      </c>
    </row>
    <row r="49" spans="2:9" ht="15" customHeight="1">
      <c r="B49" s="252" t="s">
        <v>7</v>
      </c>
      <c r="C49" s="253">
        <v>1</v>
      </c>
      <c r="D49" s="254"/>
      <c r="E49" s="254"/>
      <c r="F49" s="252" t="s">
        <v>8</v>
      </c>
      <c r="G49" s="253"/>
      <c r="H49" s="255"/>
      <c r="I49" s="255"/>
    </row>
    <row r="50" spans="2:9" ht="15" customHeight="1">
      <c r="B50" s="252" t="s">
        <v>9</v>
      </c>
      <c r="C50" s="253">
        <v>2</v>
      </c>
      <c r="D50" s="243">
        <v>0</v>
      </c>
      <c r="E50" s="243">
        <v>2585322.6800000002</v>
      </c>
      <c r="F50" s="252" t="s">
        <v>10</v>
      </c>
      <c r="G50" s="253">
        <v>50</v>
      </c>
      <c r="H50" s="243">
        <v>0</v>
      </c>
      <c r="I50" s="243">
        <v>0</v>
      </c>
    </row>
    <row r="51" spans="2:9" ht="15" customHeight="1">
      <c r="B51" s="252" t="s">
        <v>11</v>
      </c>
      <c r="C51" s="253">
        <v>3</v>
      </c>
      <c r="D51" s="243">
        <v>0</v>
      </c>
      <c r="E51" s="243">
        <v>0</v>
      </c>
      <c r="F51" s="252" t="s">
        <v>12</v>
      </c>
      <c r="G51" s="253">
        <v>51</v>
      </c>
      <c r="H51" s="243">
        <v>0</v>
      </c>
      <c r="I51" s="243">
        <v>0</v>
      </c>
    </row>
    <row r="52" spans="2:9" ht="15" customHeight="1">
      <c r="B52" s="252" t="s">
        <v>13</v>
      </c>
      <c r="C52" s="253">
        <v>4</v>
      </c>
      <c r="D52" s="243">
        <v>0</v>
      </c>
      <c r="E52" s="243">
        <v>0</v>
      </c>
      <c r="F52" s="252" t="s">
        <v>14</v>
      </c>
      <c r="G52" s="253">
        <v>52</v>
      </c>
      <c r="H52" s="243">
        <v>0</v>
      </c>
      <c r="I52" s="243">
        <v>0</v>
      </c>
    </row>
    <row r="53" spans="2:9" ht="15" customHeight="1">
      <c r="B53" s="252" t="s">
        <v>15</v>
      </c>
      <c r="C53" s="253">
        <v>5</v>
      </c>
      <c r="D53" s="243">
        <v>0</v>
      </c>
      <c r="E53" s="243">
        <v>0</v>
      </c>
      <c r="F53" s="252" t="s">
        <v>16</v>
      </c>
      <c r="G53" s="253">
        <v>53</v>
      </c>
      <c r="H53" s="243">
        <v>0</v>
      </c>
      <c r="I53" s="243">
        <v>30303183.780000001</v>
      </c>
    </row>
    <row r="54" spans="2:9" ht="15" customHeight="1">
      <c r="B54" s="252" t="s">
        <v>17</v>
      </c>
      <c r="C54" s="253">
        <v>6</v>
      </c>
      <c r="D54" s="243">
        <v>0</v>
      </c>
      <c r="E54" s="243">
        <v>0</v>
      </c>
      <c r="F54" s="252" t="s">
        <v>18</v>
      </c>
      <c r="G54" s="253">
        <v>54</v>
      </c>
      <c r="H54" s="243">
        <v>0</v>
      </c>
      <c r="I54" s="243">
        <v>0</v>
      </c>
    </row>
    <row r="55" spans="2:9" ht="15" customHeight="1">
      <c r="B55" s="252" t="s">
        <v>19</v>
      </c>
      <c r="C55" s="253">
        <v>7</v>
      </c>
      <c r="D55" s="243">
        <v>0</v>
      </c>
      <c r="E55" s="243">
        <v>0</v>
      </c>
      <c r="F55" s="252" t="s">
        <v>20</v>
      </c>
      <c r="G55" s="253">
        <v>55</v>
      </c>
      <c r="H55" s="243">
        <v>0</v>
      </c>
      <c r="I55" s="243">
        <v>0</v>
      </c>
    </row>
    <row r="56" spans="2:9" ht="15" customHeight="1">
      <c r="B56" s="252" t="s">
        <v>21</v>
      </c>
      <c r="C56" s="253">
        <v>8</v>
      </c>
      <c r="D56" s="243">
        <v>0</v>
      </c>
      <c r="E56" s="243">
        <v>5720000</v>
      </c>
      <c r="F56" s="252" t="s">
        <v>22</v>
      </c>
      <c r="G56" s="253">
        <v>56</v>
      </c>
      <c r="H56" s="243">
        <v>0</v>
      </c>
      <c r="I56" s="243">
        <v>0</v>
      </c>
    </row>
    <row r="57" spans="2:9" ht="15" customHeight="1">
      <c r="B57" s="252" t="s">
        <v>23</v>
      </c>
      <c r="C57" s="253">
        <v>9</v>
      </c>
      <c r="D57" s="243">
        <v>0</v>
      </c>
      <c r="E57" s="243">
        <v>0</v>
      </c>
      <c r="F57" s="252" t="s">
        <v>24</v>
      </c>
      <c r="G57" s="253">
        <v>57</v>
      </c>
      <c r="H57" s="243">
        <v>0</v>
      </c>
      <c r="I57" s="243">
        <v>-1567929.43</v>
      </c>
    </row>
    <row r="58" spans="2:9" ht="15" customHeight="1">
      <c r="B58" s="252" t="s">
        <v>25</v>
      </c>
      <c r="C58" s="253">
        <v>10</v>
      </c>
      <c r="D58" s="243">
        <v>0</v>
      </c>
      <c r="E58" s="243">
        <v>0</v>
      </c>
      <c r="F58" s="252" t="s">
        <v>26</v>
      </c>
      <c r="G58" s="253">
        <v>58</v>
      </c>
      <c r="H58" s="243">
        <v>0</v>
      </c>
      <c r="I58" s="243">
        <v>0</v>
      </c>
    </row>
    <row r="59" spans="2:9" ht="15" customHeight="1">
      <c r="B59" s="252" t="s">
        <v>27</v>
      </c>
      <c r="C59" s="253">
        <v>11</v>
      </c>
      <c r="D59" s="243">
        <v>0</v>
      </c>
      <c r="E59" s="243">
        <v>0</v>
      </c>
      <c r="F59" s="252"/>
      <c r="G59" s="253">
        <v>59</v>
      </c>
      <c r="H59" s="243"/>
      <c r="I59" s="243"/>
    </row>
    <row r="60" spans="2:9" ht="15" customHeight="1">
      <c r="B60" s="252" t="s">
        <v>28</v>
      </c>
      <c r="C60" s="253">
        <v>12</v>
      </c>
      <c r="D60" s="243">
        <v>0</v>
      </c>
      <c r="E60" s="243">
        <v>0</v>
      </c>
      <c r="F60" s="252" t="s">
        <v>29</v>
      </c>
      <c r="G60" s="253">
        <v>60</v>
      </c>
      <c r="H60" s="243">
        <v>0</v>
      </c>
      <c r="I60" s="243">
        <v>0</v>
      </c>
    </row>
    <row r="61" spans="2:9" ht="15" customHeight="1">
      <c r="B61" s="252" t="s">
        <v>30</v>
      </c>
      <c r="C61" s="253">
        <v>13</v>
      </c>
      <c r="D61" s="243">
        <v>0</v>
      </c>
      <c r="E61" s="243">
        <v>0</v>
      </c>
      <c r="F61" s="252" t="s">
        <v>31</v>
      </c>
      <c r="G61" s="253">
        <v>61</v>
      </c>
      <c r="H61" s="243">
        <v>0</v>
      </c>
      <c r="I61" s="243">
        <v>11029578</v>
      </c>
    </row>
    <row r="62" spans="2:9" ht="15" customHeight="1">
      <c r="B62" s="252" t="s">
        <v>32</v>
      </c>
      <c r="C62" s="253">
        <v>14</v>
      </c>
      <c r="D62" s="243">
        <v>0</v>
      </c>
      <c r="E62" s="243">
        <v>0</v>
      </c>
      <c r="F62" s="252" t="s">
        <v>33</v>
      </c>
      <c r="G62" s="253">
        <v>62</v>
      </c>
      <c r="H62" s="243">
        <v>0</v>
      </c>
      <c r="I62" s="243">
        <v>0</v>
      </c>
    </row>
    <row r="63" spans="2:9" ht="15" customHeight="1">
      <c r="B63" s="252" t="s">
        <v>34</v>
      </c>
      <c r="C63" s="253">
        <v>15</v>
      </c>
      <c r="D63" s="243">
        <v>0</v>
      </c>
      <c r="E63" s="243">
        <v>201612.91</v>
      </c>
      <c r="F63" s="252" t="s">
        <v>35</v>
      </c>
      <c r="G63" s="253">
        <v>63</v>
      </c>
      <c r="H63" s="243">
        <v>0</v>
      </c>
      <c r="I63" s="243">
        <v>0</v>
      </c>
    </row>
    <row r="64" spans="2:9" ht="15" customHeight="1">
      <c r="B64" s="252" t="s">
        <v>36</v>
      </c>
      <c r="C64" s="253">
        <v>16</v>
      </c>
      <c r="D64" s="243">
        <v>0</v>
      </c>
      <c r="E64" s="243">
        <v>8506935.5899999999</v>
      </c>
      <c r="F64" s="252" t="s">
        <v>37</v>
      </c>
      <c r="G64" s="253">
        <v>64</v>
      </c>
      <c r="H64" s="243">
        <v>0</v>
      </c>
      <c r="I64" s="243">
        <v>0</v>
      </c>
    </row>
    <row r="65" spans="2:9" ht="15" customHeight="1">
      <c r="B65" s="252" t="s">
        <v>38</v>
      </c>
      <c r="C65" s="253">
        <v>17</v>
      </c>
      <c r="D65" s="243"/>
      <c r="E65" s="243"/>
      <c r="F65" s="252" t="s">
        <v>39</v>
      </c>
      <c r="G65" s="253">
        <v>65</v>
      </c>
      <c r="H65" s="243">
        <v>0</v>
      </c>
      <c r="I65" s="243">
        <v>39764832.350000001</v>
      </c>
    </row>
    <row r="66" spans="2:9" ht="15" customHeight="1">
      <c r="B66" s="252" t="s">
        <v>40</v>
      </c>
      <c r="C66" s="253">
        <v>18</v>
      </c>
      <c r="D66" s="243">
        <v>0</v>
      </c>
      <c r="E66" s="243">
        <v>0</v>
      </c>
      <c r="F66" s="252" t="s">
        <v>41</v>
      </c>
      <c r="G66" s="253">
        <v>66</v>
      </c>
      <c r="H66" s="243"/>
      <c r="I66" s="243"/>
    </row>
    <row r="67" spans="2:9" ht="15" customHeight="1">
      <c r="B67" s="252" t="s">
        <v>42</v>
      </c>
      <c r="C67" s="253">
        <v>19</v>
      </c>
      <c r="D67" s="243">
        <v>0</v>
      </c>
      <c r="E67" s="243">
        <v>0</v>
      </c>
      <c r="F67" s="252" t="s">
        <v>43</v>
      </c>
      <c r="G67" s="253">
        <v>67</v>
      </c>
      <c r="H67" s="243">
        <v>0</v>
      </c>
      <c r="I67" s="243">
        <v>0</v>
      </c>
    </row>
    <row r="68" spans="2:9" ht="15" customHeight="1">
      <c r="B68" s="252" t="s">
        <v>44</v>
      </c>
      <c r="C68" s="253">
        <v>20</v>
      </c>
      <c r="D68" s="243">
        <v>0</v>
      </c>
      <c r="E68" s="243">
        <v>0</v>
      </c>
      <c r="F68" s="252" t="s">
        <v>45</v>
      </c>
      <c r="G68" s="253">
        <v>68</v>
      </c>
      <c r="H68" s="243">
        <v>0</v>
      </c>
      <c r="I68" s="243">
        <v>0</v>
      </c>
    </row>
    <row r="69" spans="2:9" ht="15" customHeight="1">
      <c r="B69" s="252" t="s">
        <v>46</v>
      </c>
      <c r="C69" s="253">
        <v>21</v>
      </c>
      <c r="D69" s="243">
        <v>0</v>
      </c>
      <c r="E69" s="243">
        <v>0</v>
      </c>
      <c r="F69" s="252" t="s">
        <v>47</v>
      </c>
      <c r="G69" s="253">
        <v>69</v>
      </c>
      <c r="H69" s="243">
        <v>0</v>
      </c>
      <c r="I69" s="243">
        <v>0</v>
      </c>
    </row>
    <row r="70" spans="2:9" ht="15" customHeight="1">
      <c r="B70" s="252" t="s">
        <v>48</v>
      </c>
      <c r="C70" s="253">
        <v>22</v>
      </c>
      <c r="D70" s="243">
        <v>0</v>
      </c>
      <c r="E70" s="243">
        <v>0</v>
      </c>
      <c r="F70" s="252" t="s">
        <v>49</v>
      </c>
      <c r="G70" s="253">
        <v>70</v>
      </c>
      <c r="H70" s="243">
        <v>0</v>
      </c>
      <c r="I70" s="243">
        <v>0</v>
      </c>
    </row>
    <row r="71" spans="2:9" ht="15" customHeight="1">
      <c r="B71" s="252" t="s">
        <v>50</v>
      </c>
      <c r="C71" s="253">
        <v>23</v>
      </c>
      <c r="D71" s="243">
        <v>0</v>
      </c>
      <c r="E71" s="243">
        <v>0</v>
      </c>
      <c r="F71" s="252" t="s">
        <v>51</v>
      </c>
      <c r="G71" s="253">
        <v>71</v>
      </c>
      <c r="H71" s="243">
        <v>0</v>
      </c>
      <c r="I71" s="243">
        <v>0</v>
      </c>
    </row>
    <row r="72" spans="2:9" ht="15" customHeight="1">
      <c r="B72" s="252" t="s">
        <v>52</v>
      </c>
      <c r="C72" s="253">
        <v>24</v>
      </c>
      <c r="D72" s="243">
        <v>0</v>
      </c>
      <c r="E72" s="243">
        <v>0</v>
      </c>
      <c r="F72" s="252" t="s">
        <v>53</v>
      </c>
      <c r="G72" s="253">
        <v>72</v>
      </c>
      <c r="H72" s="243">
        <v>0</v>
      </c>
      <c r="I72" s="243">
        <v>0</v>
      </c>
    </row>
    <row r="73" spans="2:9" ht="15" customHeight="1">
      <c r="B73" s="252" t="s">
        <v>54</v>
      </c>
      <c r="C73" s="253">
        <v>25</v>
      </c>
      <c r="D73" s="243">
        <v>0</v>
      </c>
      <c r="E73" s="243">
        <v>0</v>
      </c>
      <c r="F73" s="252" t="s">
        <v>55</v>
      </c>
      <c r="G73" s="253">
        <v>73</v>
      </c>
      <c r="H73" s="243">
        <v>0</v>
      </c>
      <c r="I73" s="243">
        <v>0</v>
      </c>
    </row>
    <row r="74" spans="2:9" ht="15" customHeight="1">
      <c r="B74" s="252" t="s">
        <v>56</v>
      </c>
      <c r="C74" s="253">
        <v>26</v>
      </c>
      <c r="D74" s="243">
        <v>0</v>
      </c>
      <c r="E74" s="243">
        <v>0</v>
      </c>
      <c r="F74" s="252" t="s">
        <v>57</v>
      </c>
      <c r="G74" s="253">
        <v>74</v>
      </c>
      <c r="H74" s="243">
        <v>0</v>
      </c>
      <c r="I74" s="243">
        <v>0</v>
      </c>
    </row>
    <row r="75" spans="2:9" ht="15" customHeight="1">
      <c r="B75" s="252" t="s">
        <v>58</v>
      </c>
      <c r="C75" s="253">
        <v>27</v>
      </c>
      <c r="D75" s="243">
        <v>0</v>
      </c>
      <c r="E75" s="243">
        <v>0</v>
      </c>
      <c r="F75" s="252" t="s">
        <v>59</v>
      </c>
      <c r="G75" s="253">
        <v>75</v>
      </c>
      <c r="H75" s="243">
        <v>0</v>
      </c>
      <c r="I75" s="243">
        <v>0</v>
      </c>
    </row>
    <row r="76" spans="2:9" ht="15" customHeight="1">
      <c r="B76" s="252" t="s">
        <v>60</v>
      </c>
      <c r="C76" s="253">
        <v>28</v>
      </c>
      <c r="D76" s="243">
        <v>0</v>
      </c>
      <c r="E76" s="243">
        <v>31257896.760000002</v>
      </c>
      <c r="F76" s="252"/>
      <c r="G76" s="253">
        <v>76</v>
      </c>
      <c r="H76" s="243"/>
      <c r="I76" s="243"/>
    </row>
    <row r="77" spans="2:9" ht="15" customHeight="1">
      <c r="B77" s="252" t="s">
        <v>61</v>
      </c>
      <c r="C77" s="253">
        <v>29</v>
      </c>
      <c r="D77" s="243">
        <v>0</v>
      </c>
      <c r="E77" s="243">
        <v>0</v>
      </c>
      <c r="F77" s="252"/>
      <c r="G77" s="253">
        <v>77</v>
      </c>
      <c r="H77" s="243"/>
      <c r="I77" s="243"/>
    </row>
    <row r="78" spans="2:9" ht="15" customHeight="1">
      <c r="B78" s="252" t="s">
        <v>62</v>
      </c>
      <c r="C78" s="253">
        <v>30</v>
      </c>
      <c r="D78" s="243">
        <v>0</v>
      </c>
      <c r="E78" s="243">
        <v>0</v>
      </c>
      <c r="F78" s="252" t="s">
        <v>63</v>
      </c>
      <c r="G78" s="253">
        <v>78</v>
      </c>
      <c r="H78" s="243">
        <v>0</v>
      </c>
      <c r="I78" s="243">
        <v>39764832.350000001</v>
      </c>
    </row>
    <row r="79" spans="2:9" ht="15" customHeight="1">
      <c r="B79" s="252" t="s">
        <v>64</v>
      </c>
      <c r="C79" s="253">
        <v>31</v>
      </c>
      <c r="D79" s="243">
        <v>0</v>
      </c>
      <c r="E79" s="243">
        <v>0</v>
      </c>
      <c r="F79" s="252"/>
      <c r="G79" s="253">
        <v>79</v>
      </c>
      <c r="H79" s="243"/>
      <c r="I79" s="243"/>
    </row>
    <row r="80" spans="2:9" ht="15" customHeight="1">
      <c r="B80" s="252" t="s">
        <v>65</v>
      </c>
      <c r="C80" s="253">
        <v>32</v>
      </c>
      <c r="D80" s="243">
        <v>0</v>
      </c>
      <c r="E80" s="243">
        <v>0</v>
      </c>
      <c r="F80" s="252" t="s">
        <v>66</v>
      </c>
      <c r="G80" s="253">
        <v>80</v>
      </c>
      <c r="H80" s="243"/>
      <c r="I80" s="243"/>
    </row>
    <row r="81" spans="1:9" ht="15" customHeight="1">
      <c r="B81" s="252" t="s">
        <v>67</v>
      </c>
      <c r="C81" s="253">
        <v>33</v>
      </c>
      <c r="D81" s="243">
        <v>0</v>
      </c>
      <c r="E81" s="243">
        <v>0</v>
      </c>
      <c r="F81" s="252" t="s">
        <v>68</v>
      </c>
      <c r="G81" s="253">
        <v>81</v>
      </c>
      <c r="H81" s="243">
        <v>0</v>
      </c>
      <c r="I81" s="243">
        <v>0</v>
      </c>
    </row>
    <row r="82" spans="1:9" ht="15" customHeight="1">
      <c r="B82" s="252" t="s">
        <v>69</v>
      </c>
      <c r="C82" s="253">
        <v>34</v>
      </c>
      <c r="D82" s="243">
        <v>0</v>
      </c>
      <c r="E82" s="243">
        <v>0</v>
      </c>
      <c r="F82" s="252" t="s">
        <v>70</v>
      </c>
      <c r="G82" s="253">
        <v>82</v>
      </c>
      <c r="H82" s="243">
        <v>0</v>
      </c>
      <c r="I82" s="243">
        <v>0</v>
      </c>
    </row>
    <row r="83" spans="1:9" ht="15" customHeight="1">
      <c r="B83" s="252" t="s">
        <v>71</v>
      </c>
      <c r="C83" s="253">
        <v>35</v>
      </c>
      <c r="D83" s="243">
        <v>0</v>
      </c>
      <c r="E83" s="243">
        <v>0</v>
      </c>
      <c r="F83" s="252" t="s">
        <v>72</v>
      </c>
      <c r="G83" s="253">
        <v>83</v>
      </c>
      <c r="H83" s="243">
        <v>0</v>
      </c>
      <c r="I83" s="243">
        <v>0</v>
      </c>
    </row>
    <row r="84" spans="1:9" ht="15" customHeight="1">
      <c r="B84" s="252" t="s">
        <v>73</v>
      </c>
      <c r="C84" s="253">
        <v>36</v>
      </c>
      <c r="D84" s="243">
        <v>0</v>
      </c>
      <c r="E84" s="243">
        <v>0</v>
      </c>
      <c r="F84" s="252" t="s">
        <v>74</v>
      </c>
      <c r="G84" s="253">
        <v>84</v>
      </c>
      <c r="H84" s="243">
        <v>0</v>
      </c>
      <c r="I84" s="243">
        <v>0</v>
      </c>
    </row>
    <row r="85" spans="1:9" ht="15" customHeight="1">
      <c r="B85" s="252" t="s">
        <v>75</v>
      </c>
      <c r="C85" s="253">
        <v>37</v>
      </c>
      <c r="D85" s="243">
        <v>0</v>
      </c>
      <c r="E85" s="243">
        <v>0</v>
      </c>
      <c r="F85" s="252" t="s">
        <v>76</v>
      </c>
      <c r="G85" s="253">
        <v>85</v>
      </c>
      <c r="H85" s="243">
        <v>0</v>
      </c>
      <c r="I85" s="243">
        <v>0</v>
      </c>
    </row>
    <row r="86" spans="1:9" ht="15" customHeight="1">
      <c r="B86" s="252" t="s">
        <v>77</v>
      </c>
      <c r="C86" s="253">
        <v>38</v>
      </c>
      <c r="D86" s="243">
        <v>0</v>
      </c>
      <c r="E86" s="243">
        <v>31257896.760000002</v>
      </c>
      <c r="F86" s="252" t="s">
        <v>78</v>
      </c>
      <c r="G86" s="253">
        <v>86</v>
      </c>
      <c r="H86" s="243">
        <v>0</v>
      </c>
      <c r="I86" s="243">
        <v>0</v>
      </c>
    </row>
    <row r="87" spans="1:9" ht="15" customHeight="1">
      <c r="B87" s="252" t="s">
        <v>79</v>
      </c>
      <c r="C87" s="253">
        <v>39</v>
      </c>
      <c r="D87" s="243">
        <v>0</v>
      </c>
      <c r="E87" s="243">
        <v>39764832.350000001</v>
      </c>
      <c r="F87" s="252" t="s">
        <v>80</v>
      </c>
      <c r="G87" s="253">
        <v>87</v>
      </c>
      <c r="H87" s="243">
        <v>0</v>
      </c>
      <c r="I87" s="243">
        <v>39764832.350000001</v>
      </c>
    </row>
    <row r="88" spans="1:9" ht="14.25" customHeight="1">
      <c r="H88" s="251"/>
      <c r="I88" s="251"/>
    </row>
    <row r="89" spans="1:9" ht="14.25" customHeight="1">
      <c r="A89" s="225"/>
      <c r="B89" s="237" t="s">
        <v>0</v>
      </c>
    </row>
    <row r="90" spans="1:9" ht="14.25" customHeight="1">
      <c r="A90" s="225"/>
      <c r="B90" s="237" t="s">
        <v>1</v>
      </c>
      <c r="C90" s="246"/>
      <c r="F90" s="225"/>
      <c r="G90" s="246"/>
    </row>
    <row r="91" spans="1:9" ht="14.25" customHeight="1">
      <c r="A91" s="225"/>
      <c r="B91" s="237" t="s">
        <v>82</v>
      </c>
      <c r="C91" s="246"/>
      <c r="F91" s="225"/>
      <c r="G91" s="246"/>
    </row>
    <row r="92" spans="1:9" ht="15" customHeight="1">
      <c r="B92" s="238" t="s">
        <v>3</v>
      </c>
      <c r="C92" s="238" t="s">
        <v>4</v>
      </c>
      <c r="D92" s="238" t="s">
        <v>5</v>
      </c>
      <c r="E92" s="238" t="s">
        <v>6</v>
      </c>
      <c r="F92" s="238" t="s">
        <v>3</v>
      </c>
      <c r="G92" s="238" t="s">
        <v>4</v>
      </c>
      <c r="H92" s="238" t="s">
        <v>5</v>
      </c>
      <c r="I92" s="238" t="s">
        <v>6</v>
      </c>
    </row>
    <row r="93" spans="1:9" ht="15" customHeight="1">
      <c r="B93" s="252" t="s">
        <v>7</v>
      </c>
      <c r="C93" s="253">
        <v>1</v>
      </c>
      <c r="D93" s="254"/>
      <c r="E93" s="254"/>
      <c r="F93" s="252" t="s">
        <v>8</v>
      </c>
      <c r="G93" s="253"/>
      <c r="H93" s="255"/>
      <c r="I93" s="255"/>
    </row>
    <row r="94" spans="1:9" ht="15" customHeight="1">
      <c r="B94" s="252" t="s">
        <v>9</v>
      </c>
      <c r="C94" s="253">
        <v>2</v>
      </c>
      <c r="D94" s="243">
        <v>0</v>
      </c>
      <c r="E94" s="243">
        <v>2533714.06</v>
      </c>
      <c r="F94" s="252" t="s">
        <v>10</v>
      </c>
      <c r="G94" s="253">
        <v>50</v>
      </c>
      <c r="H94" s="243">
        <v>0</v>
      </c>
      <c r="I94" s="243">
        <v>0</v>
      </c>
    </row>
    <row r="95" spans="1:9" ht="15" customHeight="1">
      <c r="B95" s="252" t="s">
        <v>11</v>
      </c>
      <c r="C95" s="253">
        <v>3</v>
      </c>
      <c r="D95" s="243">
        <v>0</v>
      </c>
      <c r="E95" s="243">
        <v>0</v>
      </c>
      <c r="F95" s="252" t="s">
        <v>12</v>
      </c>
      <c r="G95" s="253">
        <v>51</v>
      </c>
      <c r="H95" s="243">
        <v>0</v>
      </c>
      <c r="I95" s="243">
        <v>0</v>
      </c>
    </row>
    <row r="96" spans="1:9" ht="15" customHeight="1">
      <c r="B96" s="252" t="s">
        <v>13</v>
      </c>
      <c r="C96" s="253">
        <v>4</v>
      </c>
      <c r="D96" s="243">
        <v>0</v>
      </c>
      <c r="E96" s="243">
        <v>0</v>
      </c>
      <c r="F96" s="252" t="s">
        <v>14</v>
      </c>
      <c r="G96" s="253">
        <v>52</v>
      </c>
      <c r="H96" s="243">
        <v>0</v>
      </c>
      <c r="I96" s="243">
        <v>0</v>
      </c>
    </row>
    <row r="97" spans="2:11" ht="15" customHeight="1">
      <c r="B97" s="252" t="s">
        <v>15</v>
      </c>
      <c r="C97" s="253">
        <v>5</v>
      </c>
      <c r="D97" s="243">
        <v>0</v>
      </c>
      <c r="E97" s="243">
        <v>0</v>
      </c>
      <c r="F97" s="252" t="s">
        <v>16</v>
      </c>
      <c r="G97" s="253">
        <v>53</v>
      </c>
      <c r="H97" s="243">
        <v>0</v>
      </c>
      <c r="I97" s="243">
        <v>78152197.530000001</v>
      </c>
    </row>
    <row r="98" spans="2:11" ht="15" customHeight="1">
      <c r="B98" s="252" t="s">
        <v>17</v>
      </c>
      <c r="C98" s="253">
        <v>6</v>
      </c>
      <c r="D98" s="243">
        <v>0</v>
      </c>
      <c r="E98" s="243">
        <v>0</v>
      </c>
      <c r="F98" s="252" t="s">
        <v>18</v>
      </c>
      <c r="G98" s="253">
        <v>54</v>
      </c>
      <c r="H98" s="243">
        <v>0</v>
      </c>
      <c r="I98" s="243">
        <v>0</v>
      </c>
    </row>
    <row r="99" spans="2:11" ht="15" customHeight="1">
      <c r="B99" s="252" t="s">
        <v>19</v>
      </c>
      <c r="C99" s="253">
        <v>7</v>
      </c>
      <c r="D99" s="243">
        <v>0</v>
      </c>
      <c r="E99" s="243">
        <v>0</v>
      </c>
      <c r="F99" s="252" t="s">
        <v>20</v>
      </c>
      <c r="G99" s="253">
        <v>55</v>
      </c>
      <c r="H99" s="243">
        <v>0</v>
      </c>
      <c r="I99" s="243">
        <v>0</v>
      </c>
    </row>
    <row r="100" spans="2:11" ht="15" customHeight="1">
      <c r="B100" s="252" t="s">
        <v>21</v>
      </c>
      <c r="C100" s="253">
        <v>8</v>
      </c>
      <c r="D100" s="243">
        <v>0</v>
      </c>
      <c r="E100" s="243">
        <v>5720000</v>
      </c>
      <c r="F100" s="252" t="s">
        <v>22</v>
      </c>
      <c r="G100" s="253">
        <v>56</v>
      </c>
      <c r="H100" s="243">
        <v>0</v>
      </c>
      <c r="I100" s="243">
        <v>0</v>
      </c>
    </row>
    <row r="101" spans="2:11" ht="15" customHeight="1">
      <c r="B101" s="252" t="s">
        <v>23</v>
      </c>
      <c r="C101" s="253">
        <v>9</v>
      </c>
      <c r="D101" s="243">
        <v>0</v>
      </c>
      <c r="E101" s="243">
        <v>0</v>
      </c>
      <c r="F101" s="252" t="s">
        <v>24</v>
      </c>
      <c r="G101" s="253">
        <v>57</v>
      </c>
      <c r="H101" s="243">
        <v>0</v>
      </c>
      <c r="I101" s="243">
        <v>-1538561.49</v>
      </c>
      <c r="K101" s="243">
        <v>1538561.49</v>
      </c>
    </row>
    <row r="102" spans="2:11" ht="15" customHeight="1">
      <c r="B102" s="252" t="s">
        <v>25</v>
      </c>
      <c r="C102" s="253">
        <v>10</v>
      </c>
      <c r="D102" s="243">
        <v>0</v>
      </c>
      <c r="E102" s="243">
        <v>0</v>
      </c>
      <c r="F102" s="252" t="s">
        <v>26</v>
      </c>
      <c r="G102" s="253">
        <v>58</v>
      </c>
      <c r="H102" s="243">
        <v>0</v>
      </c>
      <c r="I102" s="243">
        <v>0</v>
      </c>
    </row>
    <row r="103" spans="2:11" ht="15" customHeight="1">
      <c r="B103" s="252" t="s">
        <v>27</v>
      </c>
      <c r="C103" s="253">
        <v>11</v>
      </c>
      <c r="D103" s="243">
        <v>0</v>
      </c>
      <c r="E103" s="243">
        <v>0</v>
      </c>
      <c r="F103" s="252"/>
      <c r="G103" s="253">
        <v>59</v>
      </c>
      <c r="H103" s="243"/>
      <c r="I103" s="243"/>
    </row>
    <row r="104" spans="2:11" ht="15" customHeight="1">
      <c r="B104" s="252" t="s">
        <v>28</v>
      </c>
      <c r="C104" s="253">
        <v>12</v>
      </c>
      <c r="D104" s="243">
        <v>0</v>
      </c>
      <c r="E104" s="243">
        <v>0</v>
      </c>
      <c r="F104" s="252" t="s">
        <v>29</v>
      </c>
      <c r="G104" s="253">
        <v>60</v>
      </c>
      <c r="H104" s="243">
        <v>0</v>
      </c>
      <c r="I104" s="243">
        <v>0</v>
      </c>
    </row>
    <row r="105" spans="2:11" ht="15" customHeight="1">
      <c r="B105" s="252" t="s">
        <v>30</v>
      </c>
      <c r="C105" s="253">
        <v>13</v>
      </c>
      <c r="D105" s="243">
        <v>0</v>
      </c>
      <c r="E105" s="243">
        <v>0</v>
      </c>
      <c r="F105" s="252" t="s">
        <v>31</v>
      </c>
      <c r="G105" s="253">
        <v>61</v>
      </c>
      <c r="H105" s="243">
        <v>0</v>
      </c>
      <c r="I105" s="243">
        <v>12179578</v>
      </c>
    </row>
    <row r="106" spans="2:11" ht="15" customHeight="1">
      <c r="B106" s="252" t="s">
        <v>32</v>
      </c>
      <c r="C106" s="253">
        <v>14</v>
      </c>
      <c r="D106" s="243">
        <v>0</v>
      </c>
      <c r="E106" s="243">
        <v>0</v>
      </c>
      <c r="F106" s="252" t="s">
        <v>33</v>
      </c>
      <c r="G106" s="253">
        <v>62</v>
      </c>
      <c r="H106" s="243">
        <v>0</v>
      </c>
      <c r="I106" s="243">
        <v>0</v>
      </c>
    </row>
    <row r="107" spans="2:11" ht="15" customHeight="1">
      <c r="B107" s="252" t="s">
        <v>34</v>
      </c>
      <c r="C107" s="253">
        <v>15</v>
      </c>
      <c r="D107" s="243">
        <v>0</v>
      </c>
      <c r="E107" s="243">
        <v>4226278.93</v>
      </c>
      <c r="F107" s="252" t="s">
        <v>35</v>
      </c>
      <c r="G107" s="253">
        <v>63</v>
      </c>
      <c r="H107" s="243">
        <v>0</v>
      </c>
      <c r="I107" s="243">
        <v>0</v>
      </c>
    </row>
    <row r="108" spans="2:11" ht="15" customHeight="1">
      <c r="B108" s="252" t="s">
        <v>36</v>
      </c>
      <c r="C108" s="253">
        <v>16</v>
      </c>
      <c r="D108" s="243">
        <v>0</v>
      </c>
      <c r="E108" s="243">
        <v>12479992.99</v>
      </c>
      <c r="F108" s="252" t="s">
        <v>37</v>
      </c>
      <c r="G108" s="253">
        <v>64</v>
      </c>
      <c r="H108" s="243">
        <v>0</v>
      </c>
      <c r="I108" s="243">
        <v>0</v>
      </c>
    </row>
    <row r="109" spans="2:11" ht="15" customHeight="1">
      <c r="B109" s="252" t="s">
        <v>38</v>
      </c>
      <c r="C109" s="253">
        <v>17</v>
      </c>
      <c r="D109" s="243"/>
      <c r="E109" s="243"/>
      <c r="F109" s="252" t="s">
        <v>39</v>
      </c>
      <c r="G109" s="253">
        <v>65</v>
      </c>
      <c r="H109" s="243">
        <v>0</v>
      </c>
      <c r="I109" s="243">
        <v>88793214.040000007</v>
      </c>
    </row>
    <row r="110" spans="2:11" ht="15" customHeight="1">
      <c r="B110" s="252" t="s">
        <v>40</v>
      </c>
      <c r="C110" s="253">
        <v>18</v>
      </c>
      <c r="D110" s="243">
        <v>0</v>
      </c>
      <c r="E110" s="243">
        <v>0</v>
      </c>
      <c r="F110" s="252" t="s">
        <v>41</v>
      </c>
      <c r="G110" s="253">
        <v>66</v>
      </c>
      <c r="H110" s="243"/>
      <c r="I110" s="243"/>
    </row>
    <row r="111" spans="2:11" ht="15" customHeight="1">
      <c r="B111" s="252" t="s">
        <v>42</v>
      </c>
      <c r="C111" s="253">
        <v>19</v>
      </c>
      <c r="D111" s="243">
        <v>0</v>
      </c>
      <c r="E111" s="243">
        <v>0</v>
      </c>
      <c r="F111" s="252" t="s">
        <v>43</v>
      </c>
      <c r="G111" s="253">
        <v>67</v>
      </c>
      <c r="H111" s="243">
        <v>0</v>
      </c>
      <c r="I111" s="243">
        <v>0</v>
      </c>
    </row>
    <row r="112" spans="2:11" ht="15" customHeight="1">
      <c r="B112" s="252" t="s">
        <v>44</v>
      </c>
      <c r="C112" s="253">
        <v>20</v>
      </c>
      <c r="D112" s="243">
        <v>0</v>
      </c>
      <c r="E112" s="243">
        <v>0</v>
      </c>
      <c r="F112" s="252" t="s">
        <v>45</v>
      </c>
      <c r="G112" s="253">
        <v>68</v>
      </c>
      <c r="H112" s="243">
        <v>0</v>
      </c>
      <c r="I112" s="243">
        <v>0</v>
      </c>
    </row>
    <row r="113" spans="2:9" ht="15" customHeight="1">
      <c r="B113" s="252" t="s">
        <v>46</v>
      </c>
      <c r="C113" s="253">
        <v>21</v>
      </c>
      <c r="D113" s="243">
        <v>0</v>
      </c>
      <c r="E113" s="243">
        <v>0</v>
      </c>
      <c r="F113" s="252" t="s">
        <v>47</v>
      </c>
      <c r="G113" s="253">
        <v>69</v>
      </c>
      <c r="H113" s="243">
        <v>0</v>
      </c>
      <c r="I113" s="243">
        <v>0</v>
      </c>
    </row>
    <row r="114" spans="2:9" ht="15" customHeight="1">
      <c r="B114" s="252" t="s">
        <v>48</v>
      </c>
      <c r="C114" s="253">
        <v>22</v>
      </c>
      <c r="D114" s="243">
        <v>0</v>
      </c>
      <c r="E114" s="243">
        <v>0</v>
      </c>
      <c r="F114" s="252" t="s">
        <v>49</v>
      </c>
      <c r="G114" s="253">
        <v>70</v>
      </c>
      <c r="H114" s="243">
        <v>0</v>
      </c>
      <c r="I114" s="243">
        <v>0</v>
      </c>
    </row>
    <row r="115" spans="2:9" ht="15" customHeight="1">
      <c r="B115" s="252" t="s">
        <v>50</v>
      </c>
      <c r="C115" s="253">
        <v>23</v>
      </c>
      <c r="D115" s="243">
        <v>0</v>
      </c>
      <c r="E115" s="243">
        <v>0</v>
      </c>
      <c r="F115" s="252" t="s">
        <v>51</v>
      </c>
      <c r="G115" s="253">
        <v>71</v>
      </c>
      <c r="H115" s="243">
        <v>0</v>
      </c>
      <c r="I115" s="243">
        <v>0</v>
      </c>
    </row>
    <row r="116" spans="2:9" ht="15" customHeight="1">
      <c r="B116" s="252" t="s">
        <v>52</v>
      </c>
      <c r="C116" s="253">
        <v>24</v>
      </c>
      <c r="D116" s="243">
        <v>0</v>
      </c>
      <c r="E116" s="243">
        <v>0</v>
      </c>
      <c r="F116" s="252" t="s">
        <v>53</v>
      </c>
      <c r="G116" s="253">
        <v>72</v>
      </c>
      <c r="H116" s="243">
        <v>0</v>
      </c>
      <c r="I116" s="243">
        <v>0</v>
      </c>
    </row>
    <row r="117" spans="2:9" ht="15" customHeight="1">
      <c r="B117" s="252" t="s">
        <v>54</v>
      </c>
      <c r="C117" s="253">
        <v>25</v>
      </c>
      <c r="D117" s="243">
        <v>0</v>
      </c>
      <c r="E117" s="243">
        <v>0</v>
      </c>
      <c r="F117" s="252" t="s">
        <v>55</v>
      </c>
      <c r="G117" s="253">
        <v>73</v>
      </c>
      <c r="H117" s="243">
        <v>0</v>
      </c>
      <c r="I117" s="243">
        <v>0</v>
      </c>
    </row>
    <row r="118" spans="2:9" ht="15" customHeight="1">
      <c r="B118" s="252" t="s">
        <v>56</v>
      </c>
      <c r="C118" s="253">
        <v>26</v>
      </c>
      <c r="D118" s="243">
        <v>0</v>
      </c>
      <c r="E118" s="243">
        <v>0</v>
      </c>
      <c r="F118" s="252" t="s">
        <v>57</v>
      </c>
      <c r="G118" s="253">
        <v>74</v>
      </c>
      <c r="H118" s="243">
        <v>0</v>
      </c>
      <c r="I118" s="243">
        <v>0</v>
      </c>
    </row>
    <row r="119" spans="2:9" ht="15" customHeight="1">
      <c r="B119" s="252" t="s">
        <v>58</v>
      </c>
      <c r="C119" s="253">
        <v>27</v>
      </c>
      <c r="D119" s="243">
        <v>0</v>
      </c>
      <c r="E119" s="243">
        <v>0</v>
      </c>
      <c r="F119" s="252" t="s">
        <v>59</v>
      </c>
      <c r="G119" s="253">
        <v>75</v>
      </c>
      <c r="H119" s="243">
        <v>0</v>
      </c>
      <c r="I119" s="243">
        <v>0</v>
      </c>
    </row>
    <row r="120" spans="2:9" ht="15" customHeight="1">
      <c r="B120" s="252" t="s">
        <v>60</v>
      </c>
      <c r="C120" s="253">
        <v>28</v>
      </c>
      <c r="D120" s="243">
        <v>0</v>
      </c>
      <c r="E120" s="243">
        <v>76313221.049999997</v>
      </c>
      <c r="F120" s="252"/>
      <c r="G120" s="253">
        <v>76</v>
      </c>
      <c r="H120" s="243"/>
      <c r="I120" s="243"/>
    </row>
    <row r="121" spans="2:9" ht="15" customHeight="1">
      <c r="B121" s="252" t="s">
        <v>61</v>
      </c>
      <c r="C121" s="253">
        <v>29</v>
      </c>
      <c r="D121" s="243">
        <v>0</v>
      </c>
      <c r="E121" s="243">
        <v>0</v>
      </c>
      <c r="F121" s="252"/>
      <c r="G121" s="253">
        <v>77</v>
      </c>
      <c r="H121" s="243"/>
      <c r="I121" s="243"/>
    </row>
    <row r="122" spans="2:9" ht="15" customHeight="1">
      <c r="B122" s="252" t="s">
        <v>62</v>
      </c>
      <c r="C122" s="253">
        <v>30</v>
      </c>
      <c r="D122" s="243">
        <v>0</v>
      </c>
      <c r="E122" s="243">
        <v>0</v>
      </c>
      <c r="F122" s="252" t="s">
        <v>63</v>
      </c>
      <c r="G122" s="253">
        <v>78</v>
      </c>
      <c r="H122" s="243">
        <v>0</v>
      </c>
      <c r="I122" s="243">
        <v>88793214.040000007</v>
      </c>
    </row>
    <row r="123" spans="2:9" ht="15" customHeight="1">
      <c r="B123" s="252" t="s">
        <v>64</v>
      </c>
      <c r="C123" s="253">
        <v>31</v>
      </c>
      <c r="D123" s="243">
        <v>0</v>
      </c>
      <c r="E123" s="243">
        <v>0</v>
      </c>
      <c r="F123" s="252"/>
      <c r="G123" s="253">
        <v>79</v>
      </c>
      <c r="H123" s="243"/>
      <c r="I123" s="243"/>
    </row>
    <row r="124" spans="2:9" ht="15" customHeight="1">
      <c r="B124" s="252" t="s">
        <v>65</v>
      </c>
      <c r="C124" s="253">
        <v>32</v>
      </c>
      <c r="D124" s="243">
        <v>0</v>
      </c>
      <c r="E124" s="243">
        <v>0</v>
      </c>
      <c r="F124" s="252" t="s">
        <v>66</v>
      </c>
      <c r="G124" s="253">
        <v>80</v>
      </c>
      <c r="H124" s="243"/>
      <c r="I124" s="243"/>
    </row>
    <row r="125" spans="2:9" ht="15" customHeight="1">
      <c r="B125" s="252" t="s">
        <v>67</v>
      </c>
      <c r="C125" s="253">
        <v>33</v>
      </c>
      <c r="D125" s="243">
        <v>0</v>
      </c>
      <c r="E125" s="243">
        <v>0</v>
      </c>
      <c r="F125" s="252" t="s">
        <v>68</v>
      </c>
      <c r="G125" s="253">
        <v>81</v>
      </c>
      <c r="H125" s="243">
        <v>0</v>
      </c>
      <c r="I125" s="243">
        <v>0</v>
      </c>
    </row>
    <row r="126" spans="2:9" ht="15" customHeight="1">
      <c r="B126" s="252" t="s">
        <v>69</v>
      </c>
      <c r="C126" s="253">
        <v>34</v>
      </c>
      <c r="D126" s="243">
        <v>0</v>
      </c>
      <c r="E126" s="243">
        <v>0</v>
      </c>
      <c r="F126" s="252" t="s">
        <v>70</v>
      </c>
      <c r="G126" s="253">
        <v>82</v>
      </c>
      <c r="H126" s="243">
        <v>0</v>
      </c>
      <c r="I126" s="243">
        <v>0</v>
      </c>
    </row>
    <row r="127" spans="2:9" ht="15" customHeight="1">
      <c r="B127" s="252" t="s">
        <v>71</v>
      </c>
      <c r="C127" s="253">
        <v>35</v>
      </c>
      <c r="D127" s="243">
        <v>0</v>
      </c>
      <c r="E127" s="243">
        <v>0</v>
      </c>
      <c r="F127" s="252" t="s">
        <v>72</v>
      </c>
      <c r="G127" s="253">
        <v>83</v>
      </c>
      <c r="H127" s="243">
        <v>0</v>
      </c>
      <c r="I127" s="243">
        <v>0</v>
      </c>
    </row>
    <row r="128" spans="2:9" ht="15" customHeight="1">
      <c r="B128" s="252" t="s">
        <v>73</v>
      </c>
      <c r="C128" s="253">
        <v>36</v>
      </c>
      <c r="D128" s="243">
        <v>0</v>
      </c>
      <c r="E128" s="243">
        <v>0</v>
      </c>
      <c r="F128" s="252" t="s">
        <v>74</v>
      </c>
      <c r="G128" s="253">
        <v>84</v>
      </c>
      <c r="H128" s="243">
        <v>0</v>
      </c>
      <c r="I128" s="243">
        <v>0</v>
      </c>
    </row>
    <row r="129" spans="1:9" ht="15" customHeight="1">
      <c r="B129" s="252" t="s">
        <v>75</v>
      </c>
      <c r="C129" s="253">
        <v>37</v>
      </c>
      <c r="D129" s="243">
        <v>0</v>
      </c>
      <c r="E129" s="243">
        <v>0</v>
      </c>
      <c r="F129" s="252" t="s">
        <v>76</v>
      </c>
      <c r="G129" s="253">
        <v>85</v>
      </c>
      <c r="H129" s="243">
        <v>0</v>
      </c>
      <c r="I129" s="243">
        <v>0</v>
      </c>
    </row>
    <row r="130" spans="1:9" ht="15" customHeight="1">
      <c r="B130" s="252" t="s">
        <v>77</v>
      </c>
      <c r="C130" s="253">
        <v>38</v>
      </c>
      <c r="D130" s="243">
        <v>0</v>
      </c>
      <c r="E130" s="243">
        <v>76313221.049999997</v>
      </c>
      <c r="F130" s="252" t="s">
        <v>78</v>
      </c>
      <c r="G130" s="253">
        <v>86</v>
      </c>
      <c r="H130" s="243">
        <v>0</v>
      </c>
      <c r="I130" s="243">
        <v>0</v>
      </c>
    </row>
    <row r="131" spans="1:9" ht="15" customHeight="1">
      <c r="B131" s="252" t="s">
        <v>79</v>
      </c>
      <c r="C131" s="253">
        <v>39</v>
      </c>
      <c r="D131" s="243">
        <v>0</v>
      </c>
      <c r="E131" s="243">
        <v>88793214.040000007</v>
      </c>
      <c r="F131" s="252" t="s">
        <v>80</v>
      </c>
      <c r="G131" s="253">
        <v>87</v>
      </c>
      <c r="H131" s="243">
        <v>0</v>
      </c>
      <c r="I131" s="243">
        <v>88793214.040000007</v>
      </c>
    </row>
    <row r="133" spans="1:9" ht="14.25" customHeight="1">
      <c r="A133" s="225"/>
      <c r="B133" s="257" t="s">
        <v>0</v>
      </c>
    </row>
    <row r="134" spans="1:9" ht="14.25" customHeight="1">
      <c r="A134" s="225"/>
      <c r="B134" s="257" t="s">
        <v>1</v>
      </c>
      <c r="C134" s="246"/>
      <c r="F134" s="225"/>
      <c r="G134" s="246"/>
    </row>
    <row r="135" spans="1:9" ht="14.25" customHeight="1">
      <c r="A135" s="225"/>
      <c r="B135" s="257" t="s">
        <v>382</v>
      </c>
      <c r="C135" s="246"/>
      <c r="F135" s="225"/>
      <c r="G135" s="246"/>
    </row>
    <row r="136" spans="1:9" ht="15" customHeight="1">
      <c r="B136" s="258" t="s">
        <v>3</v>
      </c>
      <c r="C136" s="258" t="s">
        <v>4</v>
      </c>
      <c r="D136" s="258" t="s">
        <v>5</v>
      </c>
      <c r="E136" s="258" t="s">
        <v>6</v>
      </c>
      <c r="F136" s="258" t="s">
        <v>3</v>
      </c>
      <c r="G136" s="258" t="s">
        <v>4</v>
      </c>
      <c r="H136" s="258" t="s">
        <v>5</v>
      </c>
      <c r="I136" s="258" t="s">
        <v>6</v>
      </c>
    </row>
    <row r="137" spans="1:9" ht="15" customHeight="1">
      <c r="B137" s="252" t="s">
        <v>7</v>
      </c>
      <c r="C137" s="253">
        <v>1</v>
      </c>
      <c r="D137" s="254"/>
      <c r="E137" s="254"/>
      <c r="F137" s="252" t="s">
        <v>8</v>
      </c>
      <c r="G137" s="253"/>
      <c r="H137" s="255"/>
      <c r="I137" s="255"/>
    </row>
    <row r="138" spans="1:9" ht="15" customHeight="1">
      <c r="B138" s="252" t="s">
        <v>9</v>
      </c>
      <c r="C138" s="253">
        <v>2</v>
      </c>
      <c r="D138" s="243">
        <v>0</v>
      </c>
      <c r="E138" s="243">
        <v>3887567.48</v>
      </c>
      <c r="F138" s="252" t="s">
        <v>10</v>
      </c>
      <c r="G138" s="253">
        <v>50</v>
      </c>
      <c r="H138" s="243">
        <v>0</v>
      </c>
      <c r="I138" s="243">
        <v>0</v>
      </c>
    </row>
    <row r="139" spans="1:9" ht="15" customHeight="1">
      <c r="B139" s="252" t="s">
        <v>11</v>
      </c>
      <c r="C139" s="253">
        <v>3</v>
      </c>
      <c r="D139" s="243">
        <v>0</v>
      </c>
      <c r="E139" s="243">
        <v>0</v>
      </c>
      <c r="F139" s="252" t="s">
        <v>12</v>
      </c>
      <c r="G139" s="253">
        <v>51</v>
      </c>
      <c r="H139" s="243">
        <v>0</v>
      </c>
      <c r="I139" s="243">
        <v>0</v>
      </c>
    </row>
    <row r="140" spans="1:9" ht="15" customHeight="1">
      <c r="B140" s="252" t="s">
        <v>13</v>
      </c>
      <c r="C140" s="253">
        <v>4</v>
      </c>
      <c r="D140" s="243">
        <v>0</v>
      </c>
      <c r="E140" s="243">
        <v>0</v>
      </c>
      <c r="F140" s="252" t="s">
        <v>14</v>
      </c>
      <c r="G140" s="253">
        <v>52</v>
      </c>
      <c r="H140" s="243">
        <v>0</v>
      </c>
      <c r="I140" s="243">
        <v>0</v>
      </c>
    </row>
    <row r="141" spans="1:9" ht="15" customHeight="1">
      <c r="B141" s="252" t="s">
        <v>15</v>
      </c>
      <c r="C141" s="253">
        <v>5</v>
      </c>
      <c r="D141" s="243">
        <v>0</v>
      </c>
      <c r="E141" s="243">
        <v>0</v>
      </c>
      <c r="F141" s="252" t="s">
        <v>16</v>
      </c>
      <c r="G141" s="253">
        <v>53</v>
      </c>
      <c r="H141" s="243">
        <v>0</v>
      </c>
      <c r="I141" s="243">
        <v>109203894.3</v>
      </c>
    </row>
    <row r="142" spans="1:9" ht="15" customHeight="1">
      <c r="B142" s="252" t="s">
        <v>17</v>
      </c>
      <c r="C142" s="253">
        <v>6</v>
      </c>
      <c r="D142" s="243">
        <v>0</v>
      </c>
      <c r="E142" s="243">
        <v>0</v>
      </c>
      <c r="F142" s="252" t="s">
        <v>18</v>
      </c>
      <c r="G142" s="253">
        <v>54</v>
      </c>
      <c r="H142" s="243">
        <v>0</v>
      </c>
      <c r="I142" s="243">
        <v>0</v>
      </c>
    </row>
    <row r="143" spans="1:9" ht="15" customHeight="1">
      <c r="B143" s="252" t="s">
        <v>19</v>
      </c>
      <c r="C143" s="253">
        <v>7</v>
      </c>
      <c r="D143" s="243">
        <v>0</v>
      </c>
      <c r="E143" s="243">
        <v>0</v>
      </c>
      <c r="F143" s="252" t="s">
        <v>20</v>
      </c>
      <c r="G143" s="253">
        <v>55</v>
      </c>
      <c r="H143" s="243">
        <v>0</v>
      </c>
      <c r="I143" s="243">
        <v>0</v>
      </c>
    </row>
    <row r="144" spans="1:9" ht="15" customHeight="1">
      <c r="B144" s="252" t="s">
        <v>21</v>
      </c>
      <c r="C144" s="253">
        <v>8</v>
      </c>
      <c r="D144" s="243">
        <v>0</v>
      </c>
      <c r="E144" s="243">
        <v>0</v>
      </c>
      <c r="F144" s="252" t="s">
        <v>22</v>
      </c>
      <c r="G144" s="253">
        <v>56</v>
      </c>
      <c r="H144" s="243">
        <v>0</v>
      </c>
      <c r="I144" s="243">
        <v>0</v>
      </c>
    </row>
    <row r="145" spans="2:11" ht="15" customHeight="1">
      <c r="B145" s="252" t="s">
        <v>23</v>
      </c>
      <c r="C145" s="253">
        <v>9</v>
      </c>
      <c r="D145" s="243">
        <v>0</v>
      </c>
      <c r="E145" s="243">
        <v>0</v>
      </c>
      <c r="F145" s="252" t="s">
        <v>24</v>
      </c>
      <c r="G145" s="253">
        <v>57</v>
      </c>
      <c r="H145" s="243">
        <v>0</v>
      </c>
      <c r="I145" s="243">
        <v>-2360321.9500000002</v>
      </c>
      <c r="K145" s="45">
        <v>2360321.9500000002</v>
      </c>
    </row>
    <row r="146" spans="2:11" ht="15" customHeight="1">
      <c r="B146" s="252" t="s">
        <v>25</v>
      </c>
      <c r="C146" s="253">
        <v>10</v>
      </c>
      <c r="D146" s="243">
        <v>0</v>
      </c>
      <c r="E146" s="243">
        <v>0</v>
      </c>
      <c r="F146" s="252" t="s">
        <v>26</v>
      </c>
      <c r="G146" s="253">
        <v>58</v>
      </c>
      <c r="H146" s="243">
        <v>0</v>
      </c>
      <c r="I146" s="243">
        <v>0</v>
      </c>
    </row>
    <row r="147" spans="2:11" ht="15" customHeight="1">
      <c r="B147" s="252" t="s">
        <v>27</v>
      </c>
      <c r="C147" s="253">
        <v>11</v>
      </c>
      <c r="D147" s="243">
        <v>0</v>
      </c>
      <c r="E147" s="243">
        <v>28031.06</v>
      </c>
      <c r="F147" s="252"/>
      <c r="G147" s="253">
        <v>59</v>
      </c>
      <c r="H147" s="243"/>
      <c r="I147" s="243"/>
    </row>
    <row r="148" spans="2:11" ht="15" customHeight="1">
      <c r="B148" s="252" t="s">
        <v>28</v>
      </c>
      <c r="C148" s="253">
        <v>12</v>
      </c>
      <c r="D148" s="243">
        <v>0</v>
      </c>
      <c r="E148" s="243">
        <v>0</v>
      </c>
      <c r="F148" s="252" t="s">
        <v>29</v>
      </c>
      <c r="G148" s="253">
        <v>60</v>
      </c>
      <c r="H148" s="243">
        <v>0</v>
      </c>
      <c r="I148" s="243">
        <v>0</v>
      </c>
    </row>
    <row r="149" spans="2:11" ht="15" customHeight="1">
      <c r="B149" s="252" t="s">
        <v>30</v>
      </c>
      <c r="C149" s="253">
        <v>13</v>
      </c>
      <c r="D149" s="243">
        <v>0</v>
      </c>
      <c r="E149" s="243">
        <v>0</v>
      </c>
      <c r="F149" s="252" t="s">
        <v>31</v>
      </c>
      <c r="G149" s="253">
        <v>61</v>
      </c>
      <c r="H149" s="243">
        <v>0</v>
      </c>
      <c r="I149" s="243">
        <v>600000</v>
      </c>
    </row>
    <row r="150" spans="2:11" ht="15" customHeight="1">
      <c r="B150" s="252" t="s">
        <v>32</v>
      </c>
      <c r="C150" s="253">
        <v>14</v>
      </c>
      <c r="D150" s="243">
        <v>0</v>
      </c>
      <c r="E150" s="243">
        <v>0</v>
      </c>
      <c r="F150" s="252" t="s">
        <v>33</v>
      </c>
      <c r="G150" s="253">
        <v>62</v>
      </c>
      <c r="H150" s="243">
        <v>0</v>
      </c>
      <c r="I150" s="243">
        <v>0</v>
      </c>
    </row>
    <row r="151" spans="2:11" ht="15" customHeight="1">
      <c r="B151" s="252" t="s">
        <v>34</v>
      </c>
      <c r="C151" s="253">
        <v>15</v>
      </c>
      <c r="D151" s="243">
        <v>0</v>
      </c>
      <c r="E151" s="243">
        <v>9417254.5899999999</v>
      </c>
      <c r="F151" s="252" t="s">
        <v>35</v>
      </c>
      <c r="G151" s="253">
        <v>63</v>
      </c>
      <c r="H151" s="243">
        <v>0</v>
      </c>
      <c r="I151" s="243">
        <v>0</v>
      </c>
    </row>
    <row r="152" spans="2:11" ht="15" customHeight="1">
      <c r="B152" s="252" t="s">
        <v>36</v>
      </c>
      <c r="C152" s="253">
        <v>16</v>
      </c>
      <c r="D152" s="243">
        <v>0</v>
      </c>
      <c r="E152" s="243">
        <v>13332853.130000001</v>
      </c>
      <c r="F152" s="252" t="s">
        <v>37</v>
      </c>
      <c r="G152" s="253">
        <v>64</v>
      </c>
      <c r="H152" s="243">
        <v>0</v>
      </c>
      <c r="I152" s="243">
        <v>0</v>
      </c>
    </row>
    <row r="153" spans="2:11" ht="15" customHeight="1">
      <c r="B153" s="252" t="s">
        <v>38</v>
      </c>
      <c r="C153" s="253">
        <v>17</v>
      </c>
      <c r="D153" s="243"/>
      <c r="E153" s="243"/>
      <c r="F153" s="252" t="s">
        <v>39</v>
      </c>
      <c r="G153" s="253">
        <v>65</v>
      </c>
      <c r="H153" s="243">
        <v>0</v>
      </c>
      <c r="I153" s="243">
        <v>107443572.34999999</v>
      </c>
    </row>
    <row r="154" spans="2:11" ht="15" customHeight="1">
      <c r="B154" s="252" t="s">
        <v>40</v>
      </c>
      <c r="C154" s="253">
        <v>18</v>
      </c>
      <c r="D154" s="243">
        <v>0</v>
      </c>
      <c r="E154" s="243">
        <v>0</v>
      </c>
      <c r="F154" s="252" t="s">
        <v>41</v>
      </c>
      <c r="G154" s="253">
        <v>66</v>
      </c>
      <c r="H154" s="243"/>
      <c r="I154" s="243"/>
    </row>
    <row r="155" spans="2:11" ht="15" customHeight="1">
      <c r="B155" s="252" t="s">
        <v>42</v>
      </c>
      <c r="C155" s="253">
        <v>19</v>
      </c>
      <c r="D155" s="243">
        <v>0</v>
      </c>
      <c r="E155" s="243">
        <v>0</v>
      </c>
      <c r="F155" s="252" t="s">
        <v>43</v>
      </c>
      <c r="G155" s="253">
        <v>67</v>
      </c>
      <c r="H155" s="243">
        <v>0</v>
      </c>
      <c r="I155" s="243">
        <v>0</v>
      </c>
    </row>
    <row r="156" spans="2:11" ht="15" customHeight="1">
      <c r="B156" s="252" t="s">
        <v>44</v>
      </c>
      <c r="C156" s="253">
        <v>20</v>
      </c>
      <c r="D156" s="243">
        <v>0</v>
      </c>
      <c r="E156" s="243">
        <v>0</v>
      </c>
      <c r="F156" s="252" t="s">
        <v>45</v>
      </c>
      <c r="G156" s="253">
        <v>68</v>
      </c>
      <c r="H156" s="243">
        <v>0</v>
      </c>
      <c r="I156" s="243">
        <v>0</v>
      </c>
    </row>
    <row r="157" spans="2:11" ht="15" customHeight="1">
      <c r="B157" s="252" t="s">
        <v>46</v>
      </c>
      <c r="C157" s="253">
        <v>21</v>
      </c>
      <c r="D157" s="243">
        <v>0</v>
      </c>
      <c r="E157" s="243">
        <v>0</v>
      </c>
      <c r="F157" s="252" t="s">
        <v>47</v>
      </c>
      <c r="G157" s="253">
        <v>69</v>
      </c>
      <c r="H157" s="243">
        <v>0</v>
      </c>
      <c r="I157" s="243">
        <v>0</v>
      </c>
    </row>
    <row r="158" spans="2:11" ht="15" customHeight="1">
      <c r="B158" s="252" t="s">
        <v>48</v>
      </c>
      <c r="C158" s="253">
        <v>22</v>
      </c>
      <c r="D158" s="243">
        <v>0</v>
      </c>
      <c r="E158" s="243">
        <v>0</v>
      </c>
      <c r="F158" s="252" t="s">
        <v>49</v>
      </c>
      <c r="G158" s="253">
        <v>70</v>
      </c>
      <c r="H158" s="243">
        <v>0</v>
      </c>
      <c r="I158" s="243">
        <v>0</v>
      </c>
    </row>
    <row r="159" spans="2:11" ht="15" customHeight="1">
      <c r="B159" s="252" t="s">
        <v>50</v>
      </c>
      <c r="C159" s="253">
        <v>23</v>
      </c>
      <c r="D159" s="243">
        <v>0</v>
      </c>
      <c r="E159" s="243">
        <v>0</v>
      </c>
      <c r="F159" s="252" t="s">
        <v>51</v>
      </c>
      <c r="G159" s="253">
        <v>71</v>
      </c>
      <c r="H159" s="243">
        <v>0</v>
      </c>
      <c r="I159" s="243">
        <v>0</v>
      </c>
    </row>
    <row r="160" spans="2:11" ht="15" customHeight="1">
      <c r="B160" s="252" t="s">
        <v>52</v>
      </c>
      <c r="C160" s="253">
        <v>24</v>
      </c>
      <c r="D160" s="243">
        <v>0</v>
      </c>
      <c r="E160" s="243">
        <v>0</v>
      </c>
      <c r="F160" s="252" t="s">
        <v>53</v>
      </c>
      <c r="G160" s="253">
        <v>72</v>
      </c>
      <c r="H160" s="243">
        <v>0</v>
      </c>
      <c r="I160" s="243">
        <v>0</v>
      </c>
    </row>
    <row r="161" spans="2:9" ht="15" customHeight="1">
      <c r="B161" s="252" t="s">
        <v>54</v>
      </c>
      <c r="C161" s="253">
        <v>25</v>
      </c>
      <c r="D161" s="243">
        <v>0</v>
      </c>
      <c r="E161" s="243">
        <v>0</v>
      </c>
      <c r="F161" s="252" t="s">
        <v>55</v>
      </c>
      <c r="G161" s="253">
        <v>73</v>
      </c>
      <c r="H161" s="243">
        <v>0</v>
      </c>
      <c r="I161" s="243">
        <v>0</v>
      </c>
    </row>
    <row r="162" spans="2:9" ht="15" customHeight="1">
      <c r="B162" s="252" t="s">
        <v>56</v>
      </c>
      <c r="C162" s="253">
        <v>26</v>
      </c>
      <c r="D162" s="243">
        <v>0</v>
      </c>
      <c r="E162" s="243">
        <v>0</v>
      </c>
      <c r="F162" s="252" t="s">
        <v>57</v>
      </c>
      <c r="G162" s="253">
        <v>74</v>
      </c>
      <c r="H162" s="243">
        <v>0</v>
      </c>
      <c r="I162" s="243">
        <v>0</v>
      </c>
    </row>
    <row r="163" spans="2:9" ht="15" customHeight="1">
      <c r="B163" s="252" t="s">
        <v>58</v>
      </c>
      <c r="C163" s="253">
        <v>27</v>
      </c>
      <c r="D163" s="243">
        <v>0</v>
      </c>
      <c r="E163" s="243">
        <v>0</v>
      </c>
      <c r="F163" s="252" t="s">
        <v>59</v>
      </c>
      <c r="G163" s="253">
        <v>75</v>
      </c>
      <c r="H163" s="243">
        <v>0</v>
      </c>
      <c r="I163" s="243">
        <v>0</v>
      </c>
    </row>
    <row r="164" spans="2:9" ht="15" customHeight="1">
      <c r="B164" s="252" t="s">
        <v>60</v>
      </c>
      <c r="C164" s="253">
        <v>28</v>
      </c>
      <c r="D164" s="243">
        <v>0</v>
      </c>
      <c r="E164" s="243">
        <v>135210719.22</v>
      </c>
      <c r="F164" s="252"/>
      <c r="G164" s="253">
        <v>76</v>
      </c>
      <c r="H164" s="243"/>
      <c r="I164" s="243"/>
    </row>
    <row r="165" spans="2:9" ht="15" customHeight="1">
      <c r="B165" s="252" t="s">
        <v>61</v>
      </c>
      <c r="C165" s="253">
        <v>29</v>
      </c>
      <c r="D165" s="243">
        <v>0</v>
      </c>
      <c r="E165" s="243">
        <v>0</v>
      </c>
      <c r="F165" s="252"/>
      <c r="G165" s="253">
        <v>77</v>
      </c>
      <c r="H165" s="243"/>
      <c r="I165" s="243"/>
    </row>
    <row r="166" spans="2:9" ht="15" customHeight="1">
      <c r="B166" s="252" t="s">
        <v>62</v>
      </c>
      <c r="C166" s="253">
        <v>30</v>
      </c>
      <c r="D166" s="243">
        <v>0</v>
      </c>
      <c r="E166" s="243">
        <v>0</v>
      </c>
      <c r="F166" s="252" t="s">
        <v>63</v>
      </c>
      <c r="G166" s="253">
        <v>78</v>
      </c>
      <c r="H166" s="243">
        <v>0</v>
      </c>
      <c r="I166" s="243">
        <v>107443572.34999999</v>
      </c>
    </row>
    <row r="167" spans="2:9" ht="15" customHeight="1">
      <c r="B167" s="252" t="s">
        <v>64</v>
      </c>
      <c r="C167" s="253">
        <v>31</v>
      </c>
      <c r="D167" s="243">
        <v>0</v>
      </c>
      <c r="E167" s="243">
        <v>0</v>
      </c>
      <c r="F167" s="252"/>
      <c r="G167" s="253">
        <v>79</v>
      </c>
      <c r="H167" s="243"/>
      <c r="I167" s="243"/>
    </row>
    <row r="168" spans="2:9" ht="15" customHeight="1">
      <c r="B168" s="252" t="s">
        <v>65</v>
      </c>
      <c r="C168" s="253">
        <v>32</v>
      </c>
      <c r="D168" s="243">
        <v>0</v>
      </c>
      <c r="E168" s="243">
        <v>0</v>
      </c>
      <c r="F168" s="252" t="s">
        <v>66</v>
      </c>
      <c r="G168" s="253">
        <v>80</v>
      </c>
      <c r="H168" s="243"/>
      <c r="I168" s="243"/>
    </row>
    <row r="169" spans="2:9" ht="15" customHeight="1">
      <c r="B169" s="252" t="s">
        <v>67</v>
      </c>
      <c r="C169" s="253">
        <v>33</v>
      </c>
      <c r="D169" s="243">
        <v>0</v>
      </c>
      <c r="E169" s="243">
        <v>0</v>
      </c>
      <c r="F169" s="252" t="s">
        <v>68</v>
      </c>
      <c r="G169" s="253">
        <v>81</v>
      </c>
      <c r="H169" s="243">
        <v>0</v>
      </c>
      <c r="I169" s="243">
        <v>1000000</v>
      </c>
    </row>
    <row r="170" spans="2:9" ht="15" customHeight="1">
      <c r="B170" s="252" t="s">
        <v>69</v>
      </c>
      <c r="C170" s="253">
        <v>34</v>
      </c>
      <c r="D170" s="243">
        <v>0</v>
      </c>
      <c r="E170" s="243">
        <v>0</v>
      </c>
      <c r="F170" s="252" t="s">
        <v>70</v>
      </c>
      <c r="G170" s="253">
        <v>82</v>
      </c>
      <c r="H170" s="243">
        <v>0</v>
      </c>
      <c r="I170" s="243">
        <v>40100000</v>
      </c>
    </row>
    <row r="171" spans="2:9" ht="15" customHeight="1">
      <c r="B171" s="252" t="s">
        <v>71</v>
      </c>
      <c r="C171" s="253">
        <v>35</v>
      </c>
      <c r="D171" s="243">
        <v>0</v>
      </c>
      <c r="E171" s="243">
        <v>0</v>
      </c>
      <c r="F171" s="252" t="s">
        <v>72</v>
      </c>
      <c r="G171" s="253">
        <v>83</v>
      </c>
      <c r="H171" s="243">
        <v>0</v>
      </c>
      <c r="I171" s="243">
        <v>0</v>
      </c>
    </row>
    <row r="172" spans="2:9" ht="15" customHeight="1">
      <c r="B172" s="252" t="s">
        <v>73</v>
      </c>
      <c r="C172" s="253">
        <v>36</v>
      </c>
      <c r="D172" s="243">
        <v>0</v>
      </c>
      <c r="E172" s="243">
        <v>0</v>
      </c>
      <c r="F172" s="252" t="s">
        <v>74</v>
      </c>
      <c r="G172" s="253">
        <v>84</v>
      </c>
      <c r="H172" s="243">
        <v>0</v>
      </c>
      <c r="I172" s="243">
        <v>0</v>
      </c>
    </row>
    <row r="173" spans="2:9" ht="15" customHeight="1">
      <c r="B173" s="252" t="s">
        <v>75</v>
      </c>
      <c r="C173" s="253">
        <v>37</v>
      </c>
      <c r="D173" s="243">
        <v>0</v>
      </c>
      <c r="E173" s="243">
        <v>0</v>
      </c>
      <c r="F173" s="252" t="s">
        <v>76</v>
      </c>
      <c r="G173" s="253">
        <v>85</v>
      </c>
      <c r="H173" s="243">
        <v>0</v>
      </c>
      <c r="I173" s="243">
        <v>0</v>
      </c>
    </row>
    <row r="174" spans="2:9" ht="15" customHeight="1">
      <c r="B174" s="252" t="s">
        <v>77</v>
      </c>
      <c r="C174" s="253">
        <v>38</v>
      </c>
      <c r="D174" s="243">
        <v>0</v>
      </c>
      <c r="E174" s="243">
        <v>135210719.22</v>
      </c>
      <c r="F174" s="252" t="s">
        <v>78</v>
      </c>
      <c r="G174" s="253">
        <v>86</v>
      </c>
      <c r="H174" s="243">
        <v>0</v>
      </c>
      <c r="I174" s="243">
        <v>41100000</v>
      </c>
    </row>
    <row r="175" spans="2:9" ht="15" customHeight="1">
      <c r="B175" s="252" t="s">
        <v>79</v>
      </c>
      <c r="C175" s="253">
        <v>39</v>
      </c>
      <c r="D175" s="243">
        <v>0</v>
      </c>
      <c r="E175" s="243">
        <v>148543572.34999999</v>
      </c>
      <c r="F175" s="252" t="s">
        <v>80</v>
      </c>
      <c r="G175" s="253">
        <v>87</v>
      </c>
      <c r="H175" s="243">
        <v>0</v>
      </c>
      <c r="I175" s="243">
        <v>148543572.34999999</v>
      </c>
    </row>
  </sheetData>
  <phoneticPr fontId="6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23"/>
  <sheetViews>
    <sheetView topLeftCell="A109" zoomScale="115" zoomScaleNormal="115" workbookViewId="0">
      <selection activeCell="E121" sqref="E121"/>
    </sheetView>
  </sheetViews>
  <sheetFormatPr defaultColWidth="9" defaultRowHeight="14"/>
  <cols>
    <col min="1" max="1" width="8.203125E-2" customWidth="1"/>
    <col min="2" max="2" width="35.6640625" customWidth="1"/>
    <col min="6" max="6" width="8.203125E-2" hidden="1" customWidth="1"/>
  </cols>
  <sheetData>
    <row r="1" spans="1:7" ht="18.75" customHeight="1">
      <c r="A1" s="225"/>
      <c r="B1" s="226" t="s">
        <v>83</v>
      </c>
      <c r="D1" s="227"/>
      <c r="E1" s="228"/>
      <c r="F1" s="228"/>
    </row>
    <row r="2" spans="1:7" ht="18.75" customHeight="1">
      <c r="A2" s="225" t="s">
        <v>84</v>
      </c>
      <c r="B2" s="226" t="s">
        <v>1</v>
      </c>
    </row>
    <row r="3" spans="1:7" ht="18.75" customHeight="1">
      <c r="B3" s="226" t="s">
        <v>2</v>
      </c>
      <c r="D3" s="227"/>
    </row>
    <row r="4" spans="1:7" ht="15" customHeight="1">
      <c r="A4" s="225">
        <v>2025.07</v>
      </c>
      <c r="B4" s="229" t="s">
        <v>3</v>
      </c>
      <c r="C4" s="229"/>
      <c r="D4" s="230" t="s">
        <v>85</v>
      </c>
      <c r="E4" s="229" t="s">
        <v>86</v>
      </c>
      <c r="F4" s="231" t="s">
        <v>87</v>
      </c>
    </row>
    <row r="5" spans="1:7" ht="15" customHeight="1">
      <c r="A5" s="225" t="s">
        <v>88</v>
      </c>
      <c r="B5" s="232" t="s">
        <v>89</v>
      </c>
      <c r="C5" s="233">
        <v>1</v>
      </c>
      <c r="D5" s="234">
        <f t="shared" ref="D5:D30" si="0">IF(RIGHT($B$3,2)="01",E5,E5-F5)</f>
        <v>0</v>
      </c>
      <c r="E5" s="235">
        <v>0</v>
      </c>
      <c r="F5" s="236">
        <v>0</v>
      </c>
    </row>
    <row r="6" spans="1:7" ht="15" customHeight="1">
      <c r="A6" s="225" t="str">
        <f>RIGHT(A4,2)</f>
        <v>07</v>
      </c>
      <c r="B6" s="232" t="s">
        <v>90</v>
      </c>
      <c r="C6" s="233">
        <v>2</v>
      </c>
      <c r="D6" s="234">
        <f t="shared" si="0"/>
        <v>0</v>
      </c>
      <c r="E6" s="235">
        <v>0</v>
      </c>
      <c r="F6" s="236">
        <v>0</v>
      </c>
      <c r="G6" s="228"/>
    </row>
    <row r="7" spans="1:7" ht="15" customHeight="1">
      <c r="B7" s="232" t="s">
        <v>91</v>
      </c>
      <c r="C7" s="233">
        <v>3</v>
      </c>
      <c r="D7" s="234">
        <f t="shared" si="0"/>
        <v>0</v>
      </c>
      <c r="E7" s="235">
        <v>0</v>
      </c>
      <c r="F7" s="236">
        <v>0</v>
      </c>
    </row>
    <row r="8" spans="1:7" ht="15" customHeight="1">
      <c r="B8" s="232" t="s">
        <v>92</v>
      </c>
      <c r="C8" s="233">
        <v>4</v>
      </c>
      <c r="D8" s="234">
        <f t="shared" si="0"/>
        <v>0</v>
      </c>
      <c r="E8" s="235">
        <v>0</v>
      </c>
      <c r="F8" s="236">
        <v>0</v>
      </c>
    </row>
    <row r="9" spans="1:7" ht="15" customHeight="1">
      <c r="B9" s="232" t="s">
        <v>93</v>
      </c>
      <c r="C9" s="233">
        <v>5</v>
      </c>
      <c r="D9" s="234">
        <f t="shared" si="0"/>
        <v>0</v>
      </c>
      <c r="E9" s="235">
        <f>E10+E13+E14+E15+E16+E17+E20+E21+E22+E23+E24</f>
        <v>0</v>
      </c>
      <c r="F9" s="236">
        <f>F10+F13+F14+F15+F16+F17+F20+F21+F22+F23+F24</f>
        <v>0</v>
      </c>
    </row>
    <row r="10" spans="1:7" ht="15" customHeight="1">
      <c r="B10" s="232" t="s">
        <v>94</v>
      </c>
      <c r="C10" s="233">
        <v>6</v>
      </c>
      <c r="D10" s="234">
        <f t="shared" si="0"/>
        <v>0</v>
      </c>
      <c r="E10" s="235">
        <v>0</v>
      </c>
      <c r="F10" s="236">
        <v>0</v>
      </c>
    </row>
    <row r="11" spans="1:7" ht="15" customHeight="1">
      <c r="B11" s="232" t="s">
        <v>95</v>
      </c>
      <c r="C11" s="233">
        <v>7</v>
      </c>
      <c r="D11" s="234">
        <f t="shared" si="0"/>
        <v>0</v>
      </c>
      <c r="E11" s="235">
        <v>0</v>
      </c>
      <c r="F11" s="236">
        <v>0</v>
      </c>
    </row>
    <row r="12" spans="1:7" ht="15" customHeight="1">
      <c r="B12" s="232" t="s">
        <v>96</v>
      </c>
      <c r="C12" s="233">
        <v>8</v>
      </c>
      <c r="D12" s="234">
        <f t="shared" si="0"/>
        <v>0</v>
      </c>
      <c r="E12" s="235">
        <v>0</v>
      </c>
      <c r="F12" s="236">
        <v>0</v>
      </c>
    </row>
    <row r="13" spans="1:7" ht="15" customHeight="1">
      <c r="B13" s="232" t="s">
        <v>97</v>
      </c>
      <c r="C13" s="233">
        <v>9</v>
      </c>
      <c r="D13" s="234">
        <f t="shared" si="0"/>
        <v>0</v>
      </c>
      <c r="E13" s="235">
        <v>0</v>
      </c>
      <c r="F13" s="236">
        <v>0</v>
      </c>
    </row>
    <row r="14" spans="1:7" ht="15" customHeight="1">
      <c r="B14" s="232" t="s">
        <v>98</v>
      </c>
      <c r="C14" s="233">
        <v>10</v>
      </c>
      <c r="D14" s="234">
        <f t="shared" si="0"/>
        <v>0</v>
      </c>
      <c r="E14" s="235">
        <v>0</v>
      </c>
      <c r="F14" s="236">
        <v>0</v>
      </c>
    </row>
    <row r="15" spans="1:7" ht="15" customHeight="1">
      <c r="B15" s="232" t="s">
        <v>99</v>
      </c>
      <c r="C15" s="233">
        <v>11</v>
      </c>
      <c r="D15" s="234">
        <f t="shared" si="0"/>
        <v>0</v>
      </c>
      <c r="E15" s="235">
        <v>0</v>
      </c>
      <c r="F15" s="236">
        <v>0</v>
      </c>
    </row>
    <row r="16" spans="1:7" ht="15" customHeight="1">
      <c r="B16" s="232" t="s">
        <v>100</v>
      </c>
      <c r="C16" s="233">
        <v>12</v>
      </c>
      <c r="D16" s="234">
        <f t="shared" si="0"/>
        <v>0</v>
      </c>
      <c r="E16" s="235">
        <v>0</v>
      </c>
      <c r="F16" s="236">
        <v>0</v>
      </c>
    </row>
    <row r="17" spans="1:6" ht="15" customHeight="1">
      <c r="B17" s="232" t="s">
        <v>101</v>
      </c>
      <c r="C17" s="233">
        <v>13</v>
      </c>
      <c r="D17" s="234">
        <f t="shared" si="0"/>
        <v>0</v>
      </c>
      <c r="E17" s="235">
        <v>0</v>
      </c>
      <c r="F17" s="236">
        <v>0</v>
      </c>
    </row>
    <row r="18" spans="1:6" ht="15" customHeight="1">
      <c r="B18" s="232" t="s">
        <v>102</v>
      </c>
      <c r="C18" s="233">
        <v>14</v>
      </c>
      <c r="D18" s="234">
        <f t="shared" si="0"/>
        <v>0</v>
      </c>
      <c r="E18" s="235">
        <v>0</v>
      </c>
      <c r="F18" s="236">
        <v>0</v>
      </c>
    </row>
    <row r="19" spans="1:6" ht="15" customHeight="1">
      <c r="B19" s="232" t="s">
        <v>103</v>
      </c>
      <c r="C19" s="233">
        <v>15</v>
      </c>
      <c r="D19" s="234">
        <f t="shared" si="0"/>
        <v>0</v>
      </c>
      <c r="E19" s="235">
        <v>0</v>
      </c>
      <c r="F19" s="236">
        <v>0</v>
      </c>
    </row>
    <row r="20" spans="1:6" ht="15" customHeight="1">
      <c r="B20" s="232" t="s">
        <v>104</v>
      </c>
      <c r="C20" s="233">
        <v>16</v>
      </c>
      <c r="D20" s="234">
        <f t="shared" si="0"/>
        <v>0</v>
      </c>
      <c r="E20" s="235">
        <v>0</v>
      </c>
      <c r="F20" s="236">
        <v>0</v>
      </c>
    </row>
    <row r="21" spans="1:6" ht="15" customHeight="1">
      <c r="B21" s="232" t="s">
        <v>105</v>
      </c>
      <c r="C21" s="233">
        <v>17</v>
      </c>
      <c r="D21" s="234">
        <f t="shared" si="0"/>
        <v>0</v>
      </c>
      <c r="E21" s="235">
        <v>0</v>
      </c>
      <c r="F21" s="236">
        <v>0</v>
      </c>
    </row>
    <row r="22" spans="1:6" ht="15" customHeight="1">
      <c r="B22" s="232" t="s">
        <v>106</v>
      </c>
      <c r="C22" s="233">
        <v>18</v>
      </c>
      <c r="D22" s="234">
        <f t="shared" si="0"/>
        <v>0</v>
      </c>
      <c r="E22" s="235">
        <v>0</v>
      </c>
      <c r="F22" s="236">
        <v>0</v>
      </c>
    </row>
    <row r="23" spans="1:6" ht="15" customHeight="1">
      <c r="B23" s="232" t="s">
        <v>107</v>
      </c>
      <c r="C23" s="233">
        <v>19</v>
      </c>
      <c r="D23" s="234">
        <f t="shared" si="0"/>
        <v>0</v>
      </c>
      <c r="E23" s="235">
        <v>0</v>
      </c>
      <c r="F23" s="236">
        <v>0</v>
      </c>
    </row>
    <row r="24" spans="1:6" ht="15" customHeight="1">
      <c r="B24" s="232" t="s">
        <v>108</v>
      </c>
      <c r="C24" s="233">
        <v>20</v>
      </c>
      <c r="D24" s="234">
        <f t="shared" si="0"/>
        <v>0</v>
      </c>
      <c r="E24" s="235">
        <v>0</v>
      </c>
      <c r="F24" s="236">
        <v>0</v>
      </c>
    </row>
    <row r="25" spans="1:6" ht="15" customHeight="1">
      <c r="B25" s="232" t="s">
        <v>109</v>
      </c>
      <c r="C25" s="233">
        <v>21</v>
      </c>
      <c r="D25" s="234">
        <f t="shared" si="0"/>
        <v>0</v>
      </c>
      <c r="E25" s="235">
        <v>0</v>
      </c>
      <c r="F25" s="236">
        <v>0</v>
      </c>
    </row>
    <row r="26" spans="1:6" ht="15" customHeight="1">
      <c r="B26" s="232" t="s">
        <v>110</v>
      </c>
      <c r="C26" s="233">
        <v>22</v>
      </c>
      <c r="D26" s="234">
        <f t="shared" si="0"/>
        <v>0</v>
      </c>
      <c r="E26" s="235">
        <v>0</v>
      </c>
      <c r="F26" s="236">
        <v>0</v>
      </c>
    </row>
    <row r="27" spans="1:6" ht="15" customHeight="1">
      <c r="B27" s="232" t="s">
        <v>111</v>
      </c>
      <c r="C27" s="233">
        <v>23</v>
      </c>
      <c r="D27" s="234">
        <f t="shared" si="0"/>
        <v>0</v>
      </c>
      <c r="E27" s="235">
        <v>0</v>
      </c>
      <c r="F27" s="236">
        <v>0</v>
      </c>
    </row>
    <row r="28" spans="1:6" ht="15" customHeight="1">
      <c r="B28" s="232" t="s">
        <v>112</v>
      </c>
      <c r="C28" s="233">
        <v>24</v>
      </c>
      <c r="D28" s="234">
        <f t="shared" si="0"/>
        <v>0</v>
      </c>
      <c r="E28" s="235">
        <v>0</v>
      </c>
      <c r="F28" s="236">
        <v>0</v>
      </c>
    </row>
    <row r="29" spans="1:6" ht="15" customHeight="1">
      <c r="B29" s="232" t="s">
        <v>113</v>
      </c>
      <c r="C29" s="233">
        <v>25</v>
      </c>
      <c r="D29" s="234">
        <f t="shared" si="0"/>
        <v>0</v>
      </c>
      <c r="E29" s="235">
        <v>0</v>
      </c>
      <c r="F29" s="236">
        <v>0</v>
      </c>
    </row>
    <row r="30" spans="1:6" ht="15" customHeight="1">
      <c r="B30" s="232" t="s">
        <v>114</v>
      </c>
      <c r="C30" s="233">
        <v>26</v>
      </c>
      <c r="D30" s="234">
        <f t="shared" si="0"/>
        <v>0</v>
      </c>
      <c r="E30" s="235">
        <v>0</v>
      </c>
      <c r="F30" s="236">
        <v>0</v>
      </c>
    </row>
    <row r="32" spans="1:6" ht="18.75" customHeight="1">
      <c r="A32" s="225"/>
      <c r="B32" s="237" t="s">
        <v>83</v>
      </c>
      <c r="D32" s="227"/>
      <c r="E32" s="228"/>
      <c r="F32" s="228"/>
    </row>
    <row r="33" spans="1:7" ht="18.75" customHeight="1">
      <c r="A33" s="225" t="s">
        <v>84</v>
      </c>
      <c r="B33" s="237" t="s">
        <v>1</v>
      </c>
    </row>
    <row r="34" spans="1:7" ht="18.75" customHeight="1">
      <c r="B34" s="237" t="s">
        <v>81</v>
      </c>
      <c r="D34" s="227"/>
    </row>
    <row r="35" spans="1:7" ht="15" customHeight="1">
      <c r="A35" s="225">
        <v>2025.08</v>
      </c>
      <c r="B35" s="238" t="s">
        <v>3</v>
      </c>
      <c r="C35" s="238"/>
      <c r="D35" s="239" t="s">
        <v>85</v>
      </c>
      <c r="E35" s="238" t="s">
        <v>86</v>
      </c>
      <c r="F35" s="240" t="s">
        <v>87</v>
      </c>
    </row>
    <row r="36" spans="1:7" ht="15" customHeight="1">
      <c r="A36" s="225" t="s">
        <v>88</v>
      </c>
      <c r="B36" s="241" t="s">
        <v>89</v>
      </c>
      <c r="C36" s="242">
        <v>1</v>
      </c>
      <c r="D36" s="243">
        <f t="shared" ref="D36:D61" si="1">IF(RIGHT($B$3,2)="01",E36,E36-F36)</f>
        <v>0</v>
      </c>
      <c r="E36" s="244">
        <v>0</v>
      </c>
      <c r="F36" s="245">
        <v>0</v>
      </c>
    </row>
    <row r="37" spans="1:7" ht="15" customHeight="1">
      <c r="A37" s="225" t="str">
        <f>RIGHT(A35,2)</f>
        <v>08</v>
      </c>
      <c r="B37" s="241" t="s">
        <v>90</v>
      </c>
      <c r="C37" s="242">
        <v>2</v>
      </c>
      <c r="D37" s="243">
        <f t="shared" si="1"/>
        <v>0</v>
      </c>
      <c r="E37" s="244">
        <v>0</v>
      </c>
      <c r="F37" s="245">
        <v>0</v>
      </c>
      <c r="G37" s="228"/>
    </row>
    <row r="38" spans="1:7" ht="15" customHeight="1">
      <c r="B38" s="241" t="s">
        <v>91</v>
      </c>
      <c r="C38" s="242">
        <v>3</v>
      </c>
      <c r="D38" s="243">
        <f t="shared" si="1"/>
        <v>0</v>
      </c>
      <c r="E38" s="244">
        <v>0</v>
      </c>
      <c r="F38" s="245">
        <v>0</v>
      </c>
    </row>
    <row r="39" spans="1:7" ht="15" customHeight="1">
      <c r="B39" s="241" t="s">
        <v>92</v>
      </c>
      <c r="C39" s="242">
        <v>4</v>
      </c>
      <c r="D39" s="243">
        <f t="shared" si="1"/>
        <v>0</v>
      </c>
      <c r="E39" s="244">
        <v>0</v>
      </c>
      <c r="F39" s="245">
        <v>0</v>
      </c>
    </row>
    <row r="40" spans="1:7" ht="15" customHeight="1">
      <c r="B40" s="241" t="s">
        <v>93</v>
      </c>
      <c r="C40" s="242">
        <v>5</v>
      </c>
      <c r="D40" s="243">
        <f t="shared" si="1"/>
        <v>0</v>
      </c>
      <c r="E40" s="244">
        <f>E41+E44+E45+E46+E47+E48+E51+E52+E53+E54+E55</f>
        <v>0</v>
      </c>
      <c r="F40" s="245">
        <f>F41+F44+F45+F46+F47+F48+F51+F52+F53+F54+F55</f>
        <v>0</v>
      </c>
    </row>
    <row r="41" spans="1:7" ht="15" customHeight="1">
      <c r="B41" s="241" t="s">
        <v>94</v>
      </c>
      <c r="C41" s="242">
        <v>6</v>
      </c>
      <c r="D41" s="243">
        <f t="shared" si="1"/>
        <v>0</v>
      </c>
      <c r="E41" s="244">
        <v>0</v>
      </c>
      <c r="F41" s="245">
        <v>0</v>
      </c>
    </row>
    <row r="42" spans="1:7" ht="15" customHeight="1">
      <c r="B42" s="241" t="s">
        <v>95</v>
      </c>
      <c r="C42" s="242">
        <v>7</v>
      </c>
      <c r="D42" s="243">
        <f t="shared" si="1"/>
        <v>0</v>
      </c>
      <c r="E42" s="244">
        <v>0</v>
      </c>
      <c r="F42" s="245">
        <v>0</v>
      </c>
    </row>
    <row r="43" spans="1:7" ht="15" customHeight="1">
      <c r="B43" s="241" t="s">
        <v>96</v>
      </c>
      <c r="C43" s="242">
        <v>8</v>
      </c>
      <c r="D43" s="243">
        <f t="shared" si="1"/>
        <v>0</v>
      </c>
      <c r="E43" s="244">
        <v>0</v>
      </c>
      <c r="F43" s="245">
        <v>0</v>
      </c>
    </row>
    <row r="44" spans="1:7" ht="15" customHeight="1">
      <c r="B44" s="241" t="s">
        <v>97</v>
      </c>
      <c r="C44" s="242">
        <v>9</v>
      </c>
      <c r="D44" s="243">
        <f t="shared" si="1"/>
        <v>0</v>
      </c>
      <c r="E44" s="244">
        <v>0</v>
      </c>
      <c r="F44" s="245">
        <v>0</v>
      </c>
    </row>
    <row r="45" spans="1:7" ht="15" customHeight="1">
      <c r="B45" s="241" t="s">
        <v>98</v>
      </c>
      <c r="C45" s="242">
        <v>10</v>
      </c>
      <c r="D45" s="243">
        <f t="shared" si="1"/>
        <v>0</v>
      </c>
      <c r="E45" s="244">
        <v>0</v>
      </c>
      <c r="F45" s="245">
        <v>0</v>
      </c>
    </row>
    <row r="46" spans="1:7" ht="15" customHeight="1">
      <c r="B46" s="241" t="s">
        <v>99</v>
      </c>
      <c r="C46" s="242">
        <v>11</v>
      </c>
      <c r="D46" s="243">
        <f t="shared" si="1"/>
        <v>0</v>
      </c>
      <c r="E46" s="244">
        <v>0</v>
      </c>
      <c r="F46" s="245">
        <v>0</v>
      </c>
    </row>
    <row r="47" spans="1:7" ht="15" customHeight="1">
      <c r="B47" s="241" t="s">
        <v>100</v>
      </c>
      <c r="C47" s="242">
        <v>12</v>
      </c>
      <c r="D47" s="243">
        <f t="shared" si="1"/>
        <v>0</v>
      </c>
      <c r="E47" s="244">
        <v>0</v>
      </c>
      <c r="F47" s="245">
        <v>0</v>
      </c>
    </row>
    <row r="48" spans="1:7" ht="15" customHeight="1">
      <c r="B48" s="241" t="s">
        <v>101</v>
      </c>
      <c r="C48" s="242">
        <v>13</v>
      </c>
      <c r="D48" s="243">
        <f t="shared" si="1"/>
        <v>0</v>
      </c>
      <c r="E48" s="244">
        <v>0</v>
      </c>
      <c r="F48" s="245">
        <v>0</v>
      </c>
    </row>
    <row r="49" spans="1:6" ht="15" customHeight="1">
      <c r="B49" s="241" t="s">
        <v>102</v>
      </c>
      <c r="C49" s="242">
        <v>14</v>
      </c>
      <c r="D49" s="243">
        <f t="shared" si="1"/>
        <v>0</v>
      </c>
      <c r="E49" s="244">
        <v>0</v>
      </c>
      <c r="F49" s="245">
        <v>0</v>
      </c>
    </row>
    <row r="50" spans="1:6" ht="15" customHeight="1">
      <c r="B50" s="241" t="s">
        <v>103</v>
      </c>
      <c r="C50" s="242">
        <v>15</v>
      </c>
      <c r="D50" s="243">
        <f t="shared" si="1"/>
        <v>0</v>
      </c>
      <c r="E50" s="244">
        <v>0</v>
      </c>
      <c r="F50" s="245">
        <v>0</v>
      </c>
    </row>
    <row r="51" spans="1:6" ht="15" customHeight="1">
      <c r="B51" s="241" t="s">
        <v>104</v>
      </c>
      <c r="C51" s="242">
        <v>16</v>
      </c>
      <c r="D51" s="243">
        <f t="shared" si="1"/>
        <v>0</v>
      </c>
      <c r="E51" s="244">
        <v>0</v>
      </c>
      <c r="F51" s="245">
        <v>0</v>
      </c>
    </row>
    <row r="52" spans="1:6" ht="15" customHeight="1">
      <c r="B52" s="241" t="s">
        <v>105</v>
      </c>
      <c r="C52" s="242">
        <v>17</v>
      </c>
      <c r="D52" s="243">
        <f t="shared" si="1"/>
        <v>0</v>
      </c>
      <c r="E52" s="244">
        <v>0</v>
      </c>
      <c r="F52" s="245">
        <v>0</v>
      </c>
    </row>
    <row r="53" spans="1:6" ht="15" customHeight="1">
      <c r="B53" s="241" t="s">
        <v>106</v>
      </c>
      <c r="C53" s="242">
        <v>18</v>
      </c>
      <c r="D53" s="243">
        <f t="shared" si="1"/>
        <v>0</v>
      </c>
      <c r="E53" s="244">
        <v>0</v>
      </c>
      <c r="F53" s="245">
        <v>0</v>
      </c>
    </row>
    <row r="54" spans="1:6" ht="15" customHeight="1">
      <c r="B54" s="241" t="s">
        <v>107</v>
      </c>
      <c r="C54" s="242">
        <v>19</v>
      </c>
      <c r="D54" s="243">
        <f t="shared" si="1"/>
        <v>0</v>
      </c>
      <c r="E54" s="244">
        <v>0</v>
      </c>
      <c r="F54" s="245">
        <v>0</v>
      </c>
    </row>
    <row r="55" spans="1:6" ht="15" customHeight="1">
      <c r="B55" s="241" t="s">
        <v>108</v>
      </c>
      <c r="C55" s="242">
        <v>20</v>
      </c>
      <c r="D55" s="243">
        <f t="shared" si="1"/>
        <v>0</v>
      </c>
      <c r="E55" s="244">
        <v>0</v>
      </c>
      <c r="F55" s="245">
        <v>0</v>
      </c>
    </row>
    <row r="56" spans="1:6" ht="15" customHeight="1">
      <c r="B56" s="241" t="s">
        <v>109</v>
      </c>
      <c r="C56" s="242">
        <v>21</v>
      </c>
      <c r="D56" s="243">
        <f t="shared" si="1"/>
        <v>0</v>
      </c>
      <c r="E56" s="244">
        <v>0</v>
      </c>
      <c r="F56" s="245">
        <v>0</v>
      </c>
    </row>
    <row r="57" spans="1:6" ht="15" customHeight="1">
      <c r="B57" s="241" t="s">
        <v>110</v>
      </c>
      <c r="C57" s="242">
        <v>22</v>
      </c>
      <c r="D57" s="243">
        <f t="shared" si="1"/>
        <v>0</v>
      </c>
      <c r="E57" s="244">
        <v>0</v>
      </c>
      <c r="F57" s="245">
        <v>0</v>
      </c>
    </row>
    <row r="58" spans="1:6" ht="15" customHeight="1">
      <c r="B58" s="241" t="s">
        <v>111</v>
      </c>
      <c r="C58" s="242">
        <v>23</v>
      </c>
      <c r="D58" s="243">
        <f t="shared" si="1"/>
        <v>0</v>
      </c>
      <c r="E58" s="244">
        <v>0</v>
      </c>
      <c r="F58" s="245">
        <v>0</v>
      </c>
    </row>
    <row r="59" spans="1:6" ht="15" customHeight="1">
      <c r="B59" s="241" t="s">
        <v>112</v>
      </c>
      <c r="C59" s="242">
        <v>24</v>
      </c>
      <c r="D59" s="243">
        <f t="shared" si="1"/>
        <v>0</v>
      </c>
      <c r="E59" s="244">
        <v>0</v>
      </c>
      <c r="F59" s="245">
        <v>0</v>
      </c>
    </row>
    <row r="60" spans="1:6" ht="15" customHeight="1">
      <c r="B60" s="241" t="s">
        <v>113</v>
      </c>
      <c r="C60" s="242">
        <v>25</v>
      </c>
      <c r="D60" s="243">
        <f t="shared" si="1"/>
        <v>0</v>
      </c>
      <c r="E60" s="244">
        <v>0</v>
      </c>
      <c r="F60" s="245">
        <v>0</v>
      </c>
    </row>
    <row r="61" spans="1:6" ht="15" customHeight="1">
      <c r="B61" s="241" t="s">
        <v>114</v>
      </c>
      <c r="C61" s="242">
        <v>26</v>
      </c>
      <c r="D61" s="243">
        <f t="shared" si="1"/>
        <v>0</v>
      </c>
      <c r="E61" s="244">
        <v>0</v>
      </c>
      <c r="F61" s="245">
        <v>0</v>
      </c>
    </row>
    <row r="63" spans="1:6" ht="18.75" customHeight="1">
      <c r="A63" s="225"/>
      <c r="B63" s="237" t="s">
        <v>83</v>
      </c>
      <c r="D63" s="227"/>
      <c r="E63" s="228"/>
      <c r="F63" s="228"/>
    </row>
    <row r="64" spans="1:6" ht="18.75" customHeight="1">
      <c r="A64" s="225" t="s">
        <v>84</v>
      </c>
      <c r="B64" s="237" t="s">
        <v>1</v>
      </c>
    </row>
    <row r="65" spans="1:7" ht="18.75" customHeight="1">
      <c r="B65" s="237" t="s">
        <v>82</v>
      </c>
      <c r="D65" s="227"/>
    </row>
    <row r="66" spans="1:7" ht="15" customHeight="1">
      <c r="A66" s="225">
        <v>2025.09</v>
      </c>
      <c r="B66" s="238" t="s">
        <v>3</v>
      </c>
      <c r="C66" s="238"/>
      <c r="D66" s="239" t="s">
        <v>85</v>
      </c>
      <c r="E66" s="238" t="s">
        <v>86</v>
      </c>
      <c r="F66" s="240" t="s">
        <v>87</v>
      </c>
    </row>
    <row r="67" spans="1:7" ht="15" customHeight="1">
      <c r="A67" s="225" t="s">
        <v>88</v>
      </c>
      <c r="B67" s="241" t="s">
        <v>89</v>
      </c>
      <c r="C67" s="242">
        <v>1</v>
      </c>
      <c r="D67" s="243">
        <f t="shared" ref="D67:D92" si="2">IF(RIGHT($B$3,2)="01",E67,E67-F67)</f>
        <v>0</v>
      </c>
      <c r="E67" s="244">
        <v>0</v>
      </c>
      <c r="F67" s="245">
        <v>0</v>
      </c>
    </row>
    <row r="68" spans="1:7" ht="15" customHeight="1">
      <c r="A68" s="225" t="str">
        <f>RIGHT(A66,2)</f>
        <v>09</v>
      </c>
      <c r="B68" s="241" t="s">
        <v>90</v>
      </c>
      <c r="C68" s="242">
        <v>2</v>
      </c>
      <c r="D68" s="243">
        <f t="shared" si="2"/>
        <v>0</v>
      </c>
      <c r="E68" s="244">
        <v>0</v>
      </c>
      <c r="F68" s="245">
        <v>0</v>
      </c>
      <c r="G68" s="228"/>
    </row>
    <row r="69" spans="1:7" ht="15" customHeight="1">
      <c r="B69" s="241" t="s">
        <v>91</v>
      </c>
      <c r="C69" s="242">
        <v>3</v>
      </c>
      <c r="D69" s="243">
        <f t="shared" si="2"/>
        <v>0</v>
      </c>
      <c r="E69" s="244">
        <v>0</v>
      </c>
      <c r="F69" s="245">
        <v>0</v>
      </c>
    </row>
    <row r="70" spans="1:7" ht="15" customHeight="1">
      <c r="B70" s="241" t="s">
        <v>92</v>
      </c>
      <c r="C70" s="242">
        <v>4</v>
      </c>
      <c r="D70" s="243">
        <f t="shared" si="2"/>
        <v>0</v>
      </c>
      <c r="E70" s="244">
        <v>0</v>
      </c>
      <c r="F70" s="245">
        <v>0</v>
      </c>
    </row>
    <row r="71" spans="1:7" ht="15" customHeight="1">
      <c r="B71" s="241" t="s">
        <v>93</v>
      </c>
      <c r="C71" s="242">
        <v>5</v>
      </c>
      <c r="D71" s="243">
        <f t="shared" si="2"/>
        <v>0</v>
      </c>
      <c r="E71" s="244">
        <f>E72+E75+E76+E77+E78+E79+E82+E83+E84+E85+E86</f>
        <v>0</v>
      </c>
      <c r="F71" s="245">
        <f>F72+F75+F76+F77+F78+F79+F82+F83+F84+F85+F86</f>
        <v>0</v>
      </c>
    </row>
    <row r="72" spans="1:7" ht="15" customHeight="1">
      <c r="B72" s="241" t="s">
        <v>94</v>
      </c>
      <c r="C72" s="242">
        <v>6</v>
      </c>
      <c r="D72" s="243">
        <f t="shared" si="2"/>
        <v>0</v>
      </c>
      <c r="E72" s="244">
        <v>0</v>
      </c>
      <c r="F72" s="245">
        <v>0</v>
      </c>
    </row>
    <row r="73" spans="1:7" ht="15" customHeight="1">
      <c r="B73" s="241" t="s">
        <v>95</v>
      </c>
      <c r="C73" s="242">
        <v>7</v>
      </c>
      <c r="D73" s="243">
        <f t="shared" si="2"/>
        <v>0</v>
      </c>
      <c r="E73" s="244">
        <v>0</v>
      </c>
      <c r="F73" s="245">
        <v>0</v>
      </c>
    </row>
    <row r="74" spans="1:7" ht="15" customHeight="1">
      <c r="B74" s="241" t="s">
        <v>96</v>
      </c>
      <c r="C74" s="242">
        <v>8</v>
      </c>
      <c r="D74" s="243">
        <f t="shared" si="2"/>
        <v>0</v>
      </c>
      <c r="E74" s="244">
        <v>0</v>
      </c>
      <c r="F74" s="245">
        <v>0</v>
      </c>
    </row>
    <row r="75" spans="1:7" ht="15" customHeight="1">
      <c r="B75" s="241" t="s">
        <v>97</v>
      </c>
      <c r="C75" s="242">
        <v>9</v>
      </c>
      <c r="D75" s="243">
        <f t="shared" si="2"/>
        <v>0</v>
      </c>
      <c r="E75" s="244">
        <v>0</v>
      </c>
      <c r="F75" s="245">
        <v>0</v>
      </c>
    </row>
    <row r="76" spans="1:7" ht="15" customHeight="1">
      <c r="B76" s="241" t="s">
        <v>98</v>
      </c>
      <c r="C76" s="242">
        <v>10</v>
      </c>
      <c r="D76" s="243">
        <f t="shared" si="2"/>
        <v>0</v>
      </c>
      <c r="E76" s="244">
        <v>0</v>
      </c>
      <c r="F76" s="245">
        <v>0</v>
      </c>
    </row>
    <row r="77" spans="1:7" ht="15" customHeight="1">
      <c r="B77" s="241" t="s">
        <v>99</v>
      </c>
      <c r="C77" s="242">
        <v>11</v>
      </c>
      <c r="D77" s="243">
        <f t="shared" si="2"/>
        <v>0</v>
      </c>
      <c r="E77" s="244">
        <v>0</v>
      </c>
      <c r="F77" s="245">
        <v>0</v>
      </c>
    </row>
    <row r="78" spans="1:7" ht="15" customHeight="1">
      <c r="B78" s="241" t="s">
        <v>100</v>
      </c>
      <c r="C78" s="242">
        <v>12</v>
      </c>
      <c r="D78" s="243">
        <f t="shared" si="2"/>
        <v>0</v>
      </c>
      <c r="E78" s="244">
        <v>0</v>
      </c>
      <c r="F78" s="245">
        <v>0</v>
      </c>
    </row>
    <row r="79" spans="1:7" ht="15" customHeight="1">
      <c r="B79" s="241" t="s">
        <v>101</v>
      </c>
      <c r="C79" s="242">
        <v>13</v>
      </c>
      <c r="D79" s="243">
        <f t="shared" si="2"/>
        <v>0</v>
      </c>
      <c r="E79" s="244">
        <v>0</v>
      </c>
      <c r="F79" s="245">
        <v>0</v>
      </c>
    </row>
    <row r="80" spans="1:7" ht="15" customHeight="1">
      <c r="B80" s="241" t="s">
        <v>102</v>
      </c>
      <c r="C80" s="242">
        <v>14</v>
      </c>
      <c r="D80" s="243">
        <f t="shared" si="2"/>
        <v>0</v>
      </c>
      <c r="E80" s="244">
        <v>0</v>
      </c>
      <c r="F80" s="245">
        <v>0</v>
      </c>
    </row>
    <row r="81" spans="1:6" ht="15" customHeight="1">
      <c r="B81" s="241" t="s">
        <v>103</v>
      </c>
      <c r="C81" s="242">
        <v>15</v>
      </c>
      <c r="D81" s="243">
        <f t="shared" si="2"/>
        <v>0</v>
      </c>
      <c r="E81" s="244">
        <v>0</v>
      </c>
      <c r="F81" s="245">
        <v>0</v>
      </c>
    </row>
    <row r="82" spans="1:6" ht="15" customHeight="1">
      <c r="B82" s="241" t="s">
        <v>104</v>
      </c>
      <c r="C82" s="242">
        <v>16</v>
      </c>
      <c r="D82" s="243">
        <f t="shared" si="2"/>
        <v>0</v>
      </c>
      <c r="E82" s="244">
        <v>0</v>
      </c>
      <c r="F82" s="245">
        <v>0</v>
      </c>
    </row>
    <row r="83" spans="1:6" ht="15" customHeight="1">
      <c r="B83" s="241" t="s">
        <v>105</v>
      </c>
      <c r="C83" s="242">
        <v>17</v>
      </c>
      <c r="D83" s="243">
        <f t="shared" si="2"/>
        <v>0</v>
      </c>
      <c r="E83" s="244">
        <v>0</v>
      </c>
      <c r="F83" s="245">
        <v>0</v>
      </c>
    </row>
    <row r="84" spans="1:6" ht="15" customHeight="1">
      <c r="B84" s="241" t="s">
        <v>106</v>
      </c>
      <c r="C84" s="242">
        <v>18</v>
      </c>
      <c r="D84" s="243">
        <f t="shared" si="2"/>
        <v>0</v>
      </c>
      <c r="E84" s="244">
        <v>0</v>
      </c>
      <c r="F84" s="245">
        <v>0</v>
      </c>
    </row>
    <row r="85" spans="1:6" ht="15" customHeight="1">
      <c r="B85" s="241" t="s">
        <v>107</v>
      </c>
      <c r="C85" s="242">
        <v>19</v>
      </c>
      <c r="D85" s="243">
        <f t="shared" si="2"/>
        <v>0</v>
      </c>
      <c r="E85" s="244">
        <v>0</v>
      </c>
      <c r="F85" s="245">
        <v>0</v>
      </c>
    </row>
    <row r="86" spans="1:6" ht="15" customHeight="1">
      <c r="B86" s="241" t="s">
        <v>108</v>
      </c>
      <c r="C86" s="242">
        <v>20</v>
      </c>
      <c r="D86" s="243">
        <f t="shared" si="2"/>
        <v>0</v>
      </c>
      <c r="E86" s="244">
        <v>0</v>
      </c>
      <c r="F86" s="245">
        <v>0</v>
      </c>
    </row>
    <row r="87" spans="1:6" ht="15" customHeight="1">
      <c r="B87" s="241" t="s">
        <v>109</v>
      </c>
      <c r="C87" s="242">
        <v>21</v>
      </c>
      <c r="D87" s="243">
        <f t="shared" si="2"/>
        <v>0</v>
      </c>
      <c r="E87" s="244">
        <v>0</v>
      </c>
      <c r="F87" s="245">
        <v>0</v>
      </c>
    </row>
    <row r="88" spans="1:6" ht="15" customHeight="1">
      <c r="B88" s="241" t="s">
        <v>110</v>
      </c>
      <c r="C88" s="242">
        <v>22</v>
      </c>
      <c r="D88" s="243">
        <f t="shared" si="2"/>
        <v>0</v>
      </c>
      <c r="E88" s="244">
        <v>0</v>
      </c>
      <c r="F88" s="245">
        <v>0</v>
      </c>
    </row>
    <row r="89" spans="1:6" ht="15" customHeight="1">
      <c r="B89" s="241" t="s">
        <v>111</v>
      </c>
      <c r="C89" s="242">
        <v>23</v>
      </c>
      <c r="D89" s="243">
        <f t="shared" si="2"/>
        <v>0</v>
      </c>
      <c r="E89" s="244">
        <v>0</v>
      </c>
      <c r="F89" s="245">
        <v>0</v>
      </c>
    </row>
    <row r="90" spans="1:6" ht="15" customHeight="1">
      <c r="B90" s="241" t="s">
        <v>112</v>
      </c>
      <c r="C90" s="242">
        <v>24</v>
      </c>
      <c r="D90" s="243">
        <f t="shared" si="2"/>
        <v>0</v>
      </c>
      <c r="E90" s="244">
        <v>0</v>
      </c>
      <c r="F90" s="245">
        <v>0</v>
      </c>
    </row>
    <row r="91" spans="1:6" ht="15" customHeight="1">
      <c r="B91" s="241" t="s">
        <v>113</v>
      </c>
      <c r="C91" s="242">
        <v>25</v>
      </c>
      <c r="D91" s="243">
        <f t="shared" si="2"/>
        <v>0</v>
      </c>
      <c r="E91" s="244">
        <v>0</v>
      </c>
      <c r="F91" s="245">
        <v>0</v>
      </c>
    </row>
    <row r="92" spans="1:6" ht="15" customHeight="1">
      <c r="B92" s="241" t="s">
        <v>114</v>
      </c>
      <c r="C92" s="242">
        <v>26</v>
      </c>
      <c r="D92" s="243">
        <f t="shared" si="2"/>
        <v>0</v>
      </c>
      <c r="E92" s="244">
        <v>0</v>
      </c>
      <c r="F92" s="245">
        <v>0</v>
      </c>
    </row>
    <row r="94" spans="1:6" ht="18.75" customHeight="1">
      <c r="A94" s="225"/>
      <c r="B94" s="257" t="s">
        <v>83</v>
      </c>
      <c r="D94" s="227"/>
      <c r="E94" s="228"/>
      <c r="F94" s="228"/>
    </row>
    <row r="95" spans="1:6" ht="18.75" customHeight="1">
      <c r="A95" s="225" t="s">
        <v>84</v>
      </c>
      <c r="B95" s="257" t="s">
        <v>1</v>
      </c>
    </row>
    <row r="96" spans="1:6" ht="18.75" customHeight="1" thickBot="1">
      <c r="B96" s="257" t="s">
        <v>382</v>
      </c>
      <c r="D96" s="227"/>
    </row>
    <row r="97" spans="1:7" ht="15" customHeight="1" thickBot="1">
      <c r="A97" s="225">
        <v>2025.1</v>
      </c>
      <c r="B97" s="258" t="s">
        <v>3</v>
      </c>
      <c r="C97" s="258"/>
      <c r="D97" s="259" t="s">
        <v>85</v>
      </c>
      <c r="E97" s="258" t="s">
        <v>86</v>
      </c>
      <c r="F97" s="260" t="s">
        <v>87</v>
      </c>
    </row>
    <row r="98" spans="1:7" ht="15" customHeight="1" thickBot="1">
      <c r="A98" s="225" t="s">
        <v>88</v>
      </c>
      <c r="B98" s="261" t="s">
        <v>89</v>
      </c>
      <c r="C98" s="262">
        <v>1</v>
      </c>
      <c r="D98" s="243">
        <f t="shared" ref="D98:D123" si="3">IF(RIGHT($B$3,2)="01",E98,E98-F98)</f>
        <v>0</v>
      </c>
      <c r="E98" s="244">
        <v>0</v>
      </c>
      <c r="F98" s="263">
        <v>0</v>
      </c>
    </row>
    <row r="99" spans="1:7" ht="15" customHeight="1" thickBot="1">
      <c r="A99" s="225" t="str">
        <f>RIGHT(A97,2)</f>
        <v>.1</v>
      </c>
      <c r="B99" s="261" t="s">
        <v>90</v>
      </c>
      <c r="C99" s="262">
        <v>2</v>
      </c>
      <c r="D99" s="243">
        <f t="shared" si="3"/>
        <v>0</v>
      </c>
      <c r="E99" s="244">
        <v>0</v>
      </c>
      <c r="F99" s="263">
        <v>0</v>
      </c>
      <c r="G99" s="228"/>
    </row>
    <row r="100" spans="1:7" ht="15" customHeight="1" thickBot="1">
      <c r="B100" s="261" t="s">
        <v>91</v>
      </c>
      <c r="C100" s="262">
        <v>3</v>
      </c>
      <c r="D100" s="243">
        <f t="shared" si="3"/>
        <v>0</v>
      </c>
      <c r="E100" s="244">
        <v>0</v>
      </c>
      <c r="F100" s="263">
        <v>0</v>
      </c>
    </row>
    <row r="101" spans="1:7" ht="15" customHeight="1" thickBot="1">
      <c r="B101" s="261" t="s">
        <v>92</v>
      </c>
      <c r="C101" s="262">
        <v>4</v>
      </c>
      <c r="D101" s="243">
        <f t="shared" si="3"/>
        <v>0</v>
      </c>
      <c r="E101" s="244">
        <v>0</v>
      </c>
      <c r="F101" s="263">
        <v>0</v>
      </c>
    </row>
    <row r="102" spans="1:7" ht="15" customHeight="1" thickBot="1">
      <c r="B102" s="261" t="s">
        <v>93</v>
      </c>
      <c r="C102" s="262">
        <v>5</v>
      </c>
      <c r="D102" s="243">
        <f t="shared" si="3"/>
        <v>0</v>
      </c>
      <c r="E102" s="244">
        <f>E103+E106+E107+E108+E109+E110+E113+E114+E115+E116+E117</f>
        <v>0</v>
      </c>
      <c r="F102" s="263">
        <f>F103+F106+F107+F108+F109+F110+F113+F114+F115+F116+F117</f>
        <v>0</v>
      </c>
    </row>
    <row r="103" spans="1:7" ht="15" customHeight="1" thickBot="1">
      <c r="B103" s="261" t="s">
        <v>94</v>
      </c>
      <c r="C103" s="262">
        <v>6</v>
      </c>
      <c r="D103" s="243">
        <f t="shared" si="3"/>
        <v>0</v>
      </c>
      <c r="E103" s="244">
        <v>0</v>
      </c>
      <c r="F103" s="263">
        <v>0</v>
      </c>
    </row>
    <row r="104" spans="1:7" ht="15" customHeight="1" thickBot="1">
      <c r="B104" s="261" t="s">
        <v>95</v>
      </c>
      <c r="C104" s="262">
        <v>7</v>
      </c>
      <c r="D104" s="243">
        <f t="shared" si="3"/>
        <v>0</v>
      </c>
      <c r="E104" s="244">
        <v>0</v>
      </c>
      <c r="F104" s="263">
        <v>0</v>
      </c>
    </row>
    <row r="105" spans="1:7" ht="15" customHeight="1" thickBot="1">
      <c r="B105" s="261" t="s">
        <v>96</v>
      </c>
      <c r="C105" s="262">
        <v>8</v>
      </c>
      <c r="D105" s="243">
        <f t="shared" si="3"/>
        <v>0</v>
      </c>
      <c r="E105" s="244">
        <v>0</v>
      </c>
      <c r="F105" s="263">
        <v>0</v>
      </c>
    </row>
    <row r="106" spans="1:7" ht="15" customHeight="1" thickBot="1">
      <c r="B106" s="261" t="s">
        <v>97</v>
      </c>
      <c r="C106" s="262">
        <v>9</v>
      </c>
      <c r="D106" s="243">
        <f t="shared" si="3"/>
        <v>0</v>
      </c>
      <c r="E106" s="244">
        <v>0</v>
      </c>
      <c r="F106" s="263">
        <v>0</v>
      </c>
    </row>
    <row r="107" spans="1:7" ht="15" customHeight="1" thickBot="1">
      <c r="B107" s="261" t="s">
        <v>98</v>
      </c>
      <c r="C107" s="262">
        <v>10</v>
      </c>
      <c r="D107" s="243">
        <f t="shared" si="3"/>
        <v>0</v>
      </c>
      <c r="E107" s="244">
        <v>0</v>
      </c>
      <c r="F107" s="263">
        <v>0</v>
      </c>
    </row>
    <row r="108" spans="1:7" ht="15" customHeight="1" thickBot="1">
      <c r="B108" s="261" t="s">
        <v>99</v>
      </c>
      <c r="C108" s="262">
        <v>11</v>
      </c>
      <c r="D108" s="243">
        <f t="shared" si="3"/>
        <v>0</v>
      </c>
      <c r="E108" s="244">
        <v>0</v>
      </c>
      <c r="F108" s="263">
        <v>0</v>
      </c>
    </row>
    <row r="109" spans="1:7" ht="15" customHeight="1" thickBot="1">
      <c r="B109" s="261" t="s">
        <v>100</v>
      </c>
      <c r="C109" s="262">
        <v>12</v>
      </c>
      <c r="D109" s="243">
        <f t="shared" si="3"/>
        <v>0</v>
      </c>
      <c r="E109" s="244">
        <v>0</v>
      </c>
      <c r="F109" s="263">
        <v>0</v>
      </c>
    </row>
    <row r="110" spans="1:7" ht="15" customHeight="1" thickBot="1">
      <c r="B110" s="261" t="s">
        <v>101</v>
      </c>
      <c r="C110" s="262">
        <v>13</v>
      </c>
      <c r="D110" s="243">
        <f t="shared" si="3"/>
        <v>0</v>
      </c>
      <c r="E110" s="244">
        <v>0</v>
      </c>
      <c r="F110" s="263">
        <v>0</v>
      </c>
    </row>
    <row r="111" spans="1:7" ht="15" customHeight="1" thickBot="1">
      <c r="B111" s="261" t="s">
        <v>102</v>
      </c>
      <c r="C111" s="262">
        <v>14</v>
      </c>
      <c r="D111" s="243">
        <f t="shared" si="3"/>
        <v>0</v>
      </c>
      <c r="E111" s="244">
        <v>0</v>
      </c>
      <c r="F111" s="263">
        <v>0</v>
      </c>
    </row>
    <row r="112" spans="1:7" ht="15" customHeight="1" thickBot="1">
      <c r="B112" s="261" t="s">
        <v>103</v>
      </c>
      <c r="C112" s="262">
        <v>15</v>
      </c>
      <c r="D112" s="243">
        <f t="shared" si="3"/>
        <v>0</v>
      </c>
      <c r="E112" s="244">
        <v>0</v>
      </c>
      <c r="F112" s="263">
        <v>0</v>
      </c>
    </row>
    <row r="113" spans="2:6" ht="15" customHeight="1" thickBot="1">
      <c r="B113" s="261" t="s">
        <v>104</v>
      </c>
      <c r="C113" s="262">
        <v>16</v>
      </c>
      <c r="D113" s="243">
        <f t="shared" si="3"/>
        <v>0</v>
      </c>
      <c r="E113" s="244">
        <v>0</v>
      </c>
      <c r="F113" s="263">
        <v>0</v>
      </c>
    </row>
    <row r="114" spans="2:6" ht="15" customHeight="1" thickBot="1">
      <c r="B114" s="261" t="s">
        <v>105</v>
      </c>
      <c r="C114" s="262">
        <v>17</v>
      </c>
      <c r="D114" s="243">
        <f t="shared" si="3"/>
        <v>0</v>
      </c>
      <c r="E114" s="244">
        <v>0</v>
      </c>
      <c r="F114" s="263">
        <v>0</v>
      </c>
    </row>
    <row r="115" spans="2:6" ht="15" customHeight="1" thickBot="1">
      <c r="B115" s="261" t="s">
        <v>106</v>
      </c>
      <c r="C115" s="262">
        <v>18</v>
      </c>
      <c r="D115" s="243">
        <f t="shared" si="3"/>
        <v>0</v>
      </c>
      <c r="E115" s="244">
        <v>0</v>
      </c>
      <c r="F115" s="263">
        <v>0</v>
      </c>
    </row>
    <row r="116" spans="2:6" ht="15" customHeight="1" thickBot="1">
      <c r="B116" s="261" t="s">
        <v>107</v>
      </c>
      <c r="C116" s="262">
        <v>19</v>
      </c>
      <c r="D116" s="243">
        <f t="shared" si="3"/>
        <v>0</v>
      </c>
      <c r="E116" s="244">
        <v>0</v>
      </c>
      <c r="F116" s="263">
        <v>0</v>
      </c>
    </row>
    <row r="117" spans="2:6" ht="15" customHeight="1" thickBot="1">
      <c r="B117" s="261" t="s">
        <v>108</v>
      </c>
      <c r="C117" s="262">
        <v>20</v>
      </c>
      <c r="D117" s="243">
        <f t="shared" si="3"/>
        <v>0</v>
      </c>
      <c r="E117" s="244">
        <v>0</v>
      </c>
      <c r="F117" s="263">
        <v>0</v>
      </c>
    </row>
    <row r="118" spans="2:6" ht="15" customHeight="1" thickBot="1">
      <c r="B118" s="261" t="s">
        <v>109</v>
      </c>
      <c r="C118" s="262">
        <v>21</v>
      </c>
      <c r="D118" s="243">
        <f t="shared" si="3"/>
        <v>0</v>
      </c>
      <c r="E118" s="244">
        <v>0</v>
      </c>
      <c r="F118" s="263">
        <v>0</v>
      </c>
    </row>
    <row r="119" spans="2:6" ht="15" customHeight="1" thickBot="1">
      <c r="B119" s="261" t="s">
        <v>110</v>
      </c>
      <c r="C119" s="262">
        <v>22</v>
      </c>
      <c r="D119" s="243">
        <f t="shared" si="3"/>
        <v>0</v>
      </c>
      <c r="E119" s="244">
        <v>0</v>
      </c>
      <c r="F119" s="263">
        <v>0</v>
      </c>
    </row>
    <row r="120" spans="2:6" ht="15" customHeight="1" thickBot="1">
      <c r="B120" s="261" t="s">
        <v>111</v>
      </c>
      <c r="C120" s="262">
        <v>23</v>
      </c>
      <c r="D120" s="243">
        <f t="shared" si="3"/>
        <v>0</v>
      </c>
      <c r="E120" s="244">
        <v>0</v>
      </c>
      <c r="F120" s="263">
        <v>0</v>
      </c>
    </row>
    <row r="121" spans="2:6" ht="15" customHeight="1" thickBot="1">
      <c r="B121" s="261" t="s">
        <v>112</v>
      </c>
      <c r="C121" s="262">
        <v>24</v>
      </c>
      <c r="D121" s="243">
        <f t="shared" si="3"/>
        <v>0</v>
      </c>
      <c r="E121" s="244">
        <v>0</v>
      </c>
      <c r="F121" s="263">
        <v>0</v>
      </c>
    </row>
    <row r="122" spans="2:6" ht="15" customHeight="1" thickBot="1">
      <c r="B122" s="261" t="s">
        <v>113</v>
      </c>
      <c r="C122" s="262">
        <v>25</v>
      </c>
      <c r="D122" s="243">
        <f t="shared" si="3"/>
        <v>0</v>
      </c>
      <c r="E122" s="244">
        <v>0</v>
      </c>
      <c r="F122" s="263">
        <v>0</v>
      </c>
    </row>
    <row r="123" spans="2:6" ht="15" customHeight="1" thickBot="1">
      <c r="B123" s="261" t="s">
        <v>114</v>
      </c>
      <c r="C123" s="262">
        <v>26</v>
      </c>
      <c r="D123" s="243">
        <f t="shared" si="3"/>
        <v>0</v>
      </c>
      <c r="E123" s="244">
        <v>0</v>
      </c>
      <c r="F123" s="263">
        <v>0</v>
      </c>
    </row>
  </sheetData>
  <phoneticPr fontId="6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3"/>
  <sheetViews>
    <sheetView zoomScale="85" zoomScaleNormal="85" workbookViewId="0">
      <selection activeCell="E3" sqref="E3"/>
    </sheetView>
  </sheetViews>
  <sheetFormatPr defaultColWidth="9" defaultRowHeight="14"/>
  <sheetData>
    <row r="3" spans="5:5">
      <c r="E3" s="45"/>
    </row>
  </sheetData>
  <phoneticPr fontId="6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A1048494"/>
  <sheetViews>
    <sheetView zoomScale="85" zoomScaleNormal="85" workbookViewId="0">
      <selection activeCell="M31" sqref="M31"/>
    </sheetView>
  </sheetViews>
  <sheetFormatPr defaultColWidth="9" defaultRowHeight="12.5"/>
  <cols>
    <col min="1" max="6" width="9" style="220"/>
    <col min="7" max="8" width="12.5" style="220" customWidth="1"/>
    <col min="9" max="10" width="9" style="220"/>
    <col min="11" max="11" width="19.58203125" style="220" customWidth="1"/>
    <col min="12" max="12" width="14.4140625" style="220" customWidth="1"/>
    <col min="13" max="13" width="9" style="220"/>
    <col min="14" max="14" width="25.58203125" style="220" customWidth="1"/>
    <col min="15" max="22" width="9" style="220"/>
    <col min="23" max="23" width="35.25" style="220" customWidth="1"/>
    <col min="24" max="16384" width="9" style="220"/>
  </cols>
  <sheetData>
    <row r="1" spans="1:27" s="218" customFormat="1" ht="14">
      <c r="A1" s="221" t="s">
        <v>115</v>
      </c>
      <c r="B1" s="221" t="s">
        <v>116</v>
      </c>
      <c r="C1" s="221" t="s">
        <v>117</v>
      </c>
      <c r="D1" s="221" t="s">
        <v>118</v>
      </c>
      <c r="E1" s="221" t="s">
        <v>119</v>
      </c>
      <c r="F1" s="221" t="s">
        <v>120</v>
      </c>
      <c r="G1" s="221" t="s">
        <v>121</v>
      </c>
      <c r="H1" s="221" t="s">
        <v>122</v>
      </c>
      <c r="I1" s="221" t="s">
        <v>123</v>
      </c>
      <c r="J1" s="221" t="s">
        <v>124</v>
      </c>
      <c r="K1" s="221" t="s">
        <v>125</v>
      </c>
      <c r="L1" s="221" t="s">
        <v>126</v>
      </c>
      <c r="M1" s="221" t="s">
        <v>127</v>
      </c>
      <c r="N1" s="221" t="s">
        <v>128</v>
      </c>
      <c r="O1" s="221" t="s">
        <v>129</v>
      </c>
      <c r="P1" s="221" t="s">
        <v>130</v>
      </c>
      <c r="Q1" s="221" t="s">
        <v>131</v>
      </c>
      <c r="R1" s="221" t="s">
        <v>132</v>
      </c>
      <c r="S1" s="221" t="s">
        <v>133</v>
      </c>
      <c r="T1" s="221" t="s">
        <v>134</v>
      </c>
      <c r="U1" s="221" t="s">
        <v>135</v>
      </c>
      <c r="V1" s="221" t="s">
        <v>136</v>
      </c>
      <c r="W1" s="221" t="s">
        <v>137</v>
      </c>
      <c r="X1" s="221" t="s">
        <v>138</v>
      </c>
      <c r="Y1" s="221" t="s">
        <v>139</v>
      </c>
      <c r="Z1" s="221" t="s">
        <v>140</v>
      </c>
      <c r="AA1" s="221" t="s">
        <v>141</v>
      </c>
    </row>
    <row r="2" spans="1:27" s="218" customFormat="1" ht="14">
      <c r="A2" s="218" t="s">
        <v>142</v>
      </c>
      <c r="B2" s="218" t="s">
        <v>143</v>
      </c>
      <c r="C2" s="218" t="s">
        <v>383</v>
      </c>
      <c r="D2" s="218" t="s">
        <v>144</v>
      </c>
      <c r="E2" s="218" t="s">
        <v>384</v>
      </c>
      <c r="F2" s="218" t="s">
        <v>150</v>
      </c>
      <c r="G2" s="222">
        <v>45944</v>
      </c>
      <c r="H2" s="222">
        <v>45945</v>
      </c>
      <c r="I2" s="223">
        <v>1161.26</v>
      </c>
      <c r="J2" s="218" t="s">
        <v>146</v>
      </c>
      <c r="K2" s="223">
        <v>1161.26</v>
      </c>
      <c r="L2" s="218" t="s">
        <v>146</v>
      </c>
      <c r="M2" s="218" t="s">
        <v>152</v>
      </c>
      <c r="N2" s="218" t="s">
        <v>152</v>
      </c>
      <c r="O2" s="218" t="s">
        <v>147</v>
      </c>
      <c r="P2" s="218" t="s">
        <v>147</v>
      </c>
      <c r="Q2" s="218" t="s">
        <v>147</v>
      </c>
      <c r="R2" s="218" t="s">
        <v>147</v>
      </c>
      <c r="S2" s="218" t="s">
        <v>147</v>
      </c>
      <c r="T2" s="218" t="s">
        <v>147</v>
      </c>
      <c r="U2" s="218" t="s">
        <v>385</v>
      </c>
      <c r="V2" s="218" t="s">
        <v>147</v>
      </c>
      <c r="W2" s="218" t="s">
        <v>147</v>
      </c>
      <c r="X2" s="218" t="s">
        <v>147</v>
      </c>
      <c r="Y2" s="218" t="s">
        <v>385</v>
      </c>
      <c r="Z2" s="218" t="s">
        <v>149</v>
      </c>
      <c r="AA2" s="218" t="s">
        <v>147</v>
      </c>
    </row>
    <row r="3" spans="1:27" s="218" customFormat="1" ht="14">
      <c r="A3" s="218" t="s">
        <v>142</v>
      </c>
      <c r="B3" s="218" t="s">
        <v>143</v>
      </c>
      <c r="C3" s="218" t="s">
        <v>383</v>
      </c>
      <c r="D3" s="218" t="s">
        <v>144</v>
      </c>
      <c r="E3" s="218" t="s">
        <v>386</v>
      </c>
      <c r="F3" s="218" t="s">
        <v>150</v>
      </c>
      <c r="G3" s="222">
        <v>45944</v>
      </c>
      <c r="H3" s="222">
        <v>45945</v>
      </c>
      <c r="I3" s="223">
        <v>580.63</v>
      </c>
      <c r="J3" s="218" t="s">
        <v>146</v>
      </c>
      <c r="K3" s="223">
        <v>580.63</v>
      </c>
      <c r="L3" s="218" t="s">
        <v>146</v>
      </c>
      <c r="M3" s="218" t="s">
        <v>151</v>
      </c>
      <c r="N3" s="218" t="s">
        <v>151</v>
      </c>
      <c r="O3" s="218" t="s">
        <v>147</v>
      </c>
      <c r="P3" s="218" t="s">
        <v>147</v>
      </c>
      <c r="Q3" s="218" t="s">
        <v>147</v>
      </c>
      <c r="R3" s="218" t="s">
        <v>147</v>
      </c>
      <c r="S3" s="218" t="s">
        <v>147</v>
      </c>
      <c r="T3" s="218" t="s">
        <v>147</v>
      </c>
      <c r="U3" s="218" t="s">
        <v>387</v>
      </c>
      <c r="V3" s="218" t="s">
        <v>147</v>
      </c>
      <c r="W3" s="218" t="s">
        <v>147</v>
      </c>
      <c r="X3" s="218" t="s">
        <v>147</v>
      </c>
      <c r="Y3" s="218" t="s">
        <v>387</v>
      </c>
      <c r="Z3" s="218" t="s">
        <v>149</v>
      </c>
      <c r="AA3" s="218" t="s">
        <v>147</v>
      </c>
    </row>
    <row r="4" spans="1:27" s="218" customFormat="1" ht="14">
      <c r="A4" s="218" t="s">
        <v>142</v>
      </c>
      <c r="B4" s="218" t="s">
        <v>143</v>
      </c>
      <c r="C4" s="218" t="s">
        <v>383</v>
      </c>
      <c r="D4" s="218" t="s">
        <v>144</v>
      </c>
      <c r="E4" s="218" t="s">
        <v>388</v>
      </c>
      <c r="F4" s="218" t="s">
        <v>150</v>
      </c>
      <c r="G4" s="222">
        <v>45945</v>
      </c>
      <c r="H4" s="222">
        <v>45945</v>
      </c>
      <c r="I4" s="223">
        <v>18127.36</v>
      </c>
      <c r="J4" s="218" t="s">
        <v>146</v>
      </c>
      <c r="K4" s="223">
        <v>18127.36</v>
      </c>
      <c r="L4" s="218" t="s">
        <v>146</v>
      </c>
      <c r="M4" s="218" t="s">
        <v>389</v>
      </c>
      <c r="N4" s="218" t="s">
        <v>389</v>
      </c>
      <c r="O4" s="218" t="s">
        <v>147</v>
      </c>
      <c r="P4" s="218" t="s">
        <v>147</v>
      </c>
      <c r="Q4" s="218" t="s">
        <v>147</v>
      </c>
      <c r="R4" s="218" t="s">
        <v>147</v>
      </c>
      <c r="S4" s="218" t="s">
        <v>147</v>
      </c>
      <c r="T4" s="218" t="s">
        <v>147</v>
      </c>
      <c r="U4" s="218" t="s">
        <v>390</v>
      </c>
      <c r="V4" s="218" t="s">
        <v>147</v>
      </c>
      <c r="W4" s="218" t="s">
        <v>147</v>
      </c>
      <c r="X4" s="218" t="s">
        <v>147</v>
      </c>
      <c r="Y4" s="218" t="s">
        <v>390</v>
      </c>
      <c r="Z4" s="218" t="s">
        <v>149</v>
      </c>
      <c r="AA4" s="218" t="s">
        <v>147</v>
      </c>
    </row>
    <row r="5" spans="1:27" s="218" customFormat="1" ht="14">
      <c r="A5" s="218" t="s">
        <v>142</v>
      </c>
      <c r="B5" s="218" t="s">
        <v>143</v>
      </c>
      <c r="C5" s="218" t="s">
        <v>383</v>
      </c>
      <c r="D5" s="218" t="s">
        <v>144</v>
      </c>
      <c r="E5" s="218" t="s">
        <v>391</v>
      </c>
      <c r="F5" s="218" t="s">
        <v>150</v>
      </c>
      <c r="G5" s="222">
        <v>45945</v>
      </c>
      <c r="H5" s="222">
        <v>45946</v>
      </c>
      <c r="I5" s="223">
        <v>219.76</v>
      </c>
      <c r="J5" s="218" t="s">
        <v>146</v>
      </c>
      <c r="K5" s="223">
        <v>219.76</v>
      </c>
      <c r="L5" s="218" t="s">
        <v>146</v>
      </c>
      <c r="M5" s="218" t="s">
        <v>154</v>
      </c>
      <c r="N5" s="218" t="s">
        <v>154</v>
      </c>
      <c r="O5" s="218" t="s">
        <v>147</v>
      </c>
      <c r="P5" s="218" t="s">
        <v>147</v>
      </c>
      <c r="Q5" s="218" t="s">
        <v>147</v>
      </c>
      <c r="R5" s="218" t="s">
        <v>147</v>
      </c>
      <c r="S5" s="218" t="s">
        <v>147</v>
      </c>
      <c r="T5" s="218" t="s">
        <v>147</v>
      </c>
      <c r="U5" s="218" t="s">
        <v>392</v>
      </c>
      <c r="V5" s="218" t="s">
        <v>147</v>
      </c>
      <c r="W5" s="218" t="s">
        <v>147</v>
      </c>
      <c r="X5" s="218" t="s">
        <v>147</v>
      </c>
      <c r="Y5" s="218" t="s">
        <v>392</v>
      </c>
      <c r="Z5" s="218" t="s">
        <v>149</v>
      </c>
      <c r="AA5" s="218" t="s">
        <v>147</v>
      </c>
    </row>
    <row r="6" spans="1:27" s="218" customFormat="1" ht="14">
      <c r="A6" s="218" t="s">
        <v>142</v>
      </c>
      <c r="B6" s="218" t="s">
        <v>143</v>
      </c>
      <c r="C6" s="218" t="s">
        <v>383</v>
      </c>
      <c r="D6" s="218" t="s">
        <v>144</v>
      </c>
      <c r="E6" s="218" t="s">
        <v>393</v>
      </c>
      <c r="F6" s="218" t="s">
        <v>150</v>
      </c>
      <c r="G6" s="222">
        <v>45945</v>
      </c>
      <c r="H6" s="222">
        <v>45946</v>
      </c>
      <c r="I6" s="223">
        <v>315.51</v>
      </c>
      <c r="J6" s="218" t="s">
        <v>146</v>
      </c>
      <c r="K6" s="223">
        <v>315.51</v>
      </c>
      <c r="L6" s="218" t="s">
        <v>146</v>
      </c>
      <c r="M6" s="218" t="s">
        <v>153</v>
      </c>
      <c r="N6" s="218" t="s">
        <v>153</v>
      </c>
      <c r="O6" s="218" t="s">
        <v>147</v>
      </c>
      <c r="P6" s="218" t="s">
        <v>147</v>
      </c>
      <c r="Q6" s="218" t="s">
        <v>147</v>
      </c>
      <c r="R6" s="218" t="s">
        <v>147</v>
      </c>
      <c r="S6" s="218" t="s">
        <v>147</v>
      </c>
      <c r="T6" s="218" t="s">
        <v>147</v>
      </c>
      <c r="U6" s="218" t="s">
        <v>394</v>
      </c>
      <c r="V6" s="218" t="s">
        <v>147</v>
      </c>
      <c r="W6" s="218" t="s">
        <v>147</v>
      </c>
      <c r="X6" s="218" t="s">
        <v>147</v>
      </c>
      <c r="Y6" s="218" t="s">
        <v>394</v>
      </c>
      <c r="Z6" s="218" t="s">
        <v>149</v>
      </c>
      <c r="AA6" s="218" t="s">
        <v>147</v>
      </c>
    </row>
    <row r="7" spans="1:27" s="218" customFormat="1" ht="14">
      <c r="A7" s="218" t="s">
        <v>142</v>
      </c>
      <c r="B7" s="218" t="s">
        <v>143</v>
      </c>
      <c r="C7" s="218" t="s">
        <v>383</v>
      </c>
      <c r="D7" s="218" t="s">
        <v>144</v>
      </c>
      <c r="E7" s="218" t="s">
        <v>395</v>
      </c>
      <c r="F7" s="218" t="s">
        <v>145</v>
      </c>
      <c r="G7" s="222">
        <v>45957</v>
      </c>
      <c r="H7" s="222">
        <v>45959</v>
      </c>
      <c r="I7" s="223">
        <v>61.74</v>
      </c>
      <c r="J7" s="218" t="s">
        <v>146</v>
      </c>
      <c r="K7" s="223">
        <v>61.74</v>
      </c>
      <c r="L7" s="218" t="s">
        <v>146</v>
      </c>
      <c r="M7" s="218" t="s">
        <v>396</v>
      </c>
      <c r="N7" s="218" t="s">
        <v>397</v>
      </c>
      <c r="O7" s="218" t="s">
        <v>147</v>
      </c>
      <c r="P7" s="218" t="s">
        <v>398</v>
      </c>
      <c r="Q7" s="218" t="s">
        <v>147</v>
      </c>
      <c r="R7" s="218" t="s">
        <v>147</v>
      </c>
      <c r="S7" s="218" t="s">
        <v>147</v>
      </c>
      <c r="T7" s="218" t="s">
        <v>147</v>
      </c>
      <c r="U7" s="218" t="s">
        <v>399</v>
      </c>
      <c r="V7" s="218" t="s">
        <v>147</v>
      </c>
      <c r="W7" s="218" t="s">
        <v>147</v>
      </c>
      <c r="X7" s="218" t="s">
        <v>147</v>
      </c>
      <c r="Y7" s="218" t="s">
        <v>399</v>
      </c>
      <c r="Z7" s="218" t="s">
        <v>149</v>
      </c>
      <c r="AA7" s="218" t="s">
        <v>147</v>
      </c>
    </row>
    <row r="8" spans="1:27" s="218" customFormat="1" ht="14">
      <c r="A8" s="218" t="s">
        <v>142</v>
      </c>
      <c r="B8" s="218" t="s">
        <v>143</v>
      </c>
      <c r="C8" s="218" t="s">
        <v>383</v>
      </c>
      <c r="D8" s="218" t="s">
        <v>144</v>
      </c>
      <c r="E8" s="218" t="s">
        <v>400</v>
      </c>
      <c r="F8" s="218" t="s">
        <v>150</v>
      </c>
      <c r="G8" s="222">
        <v>45960</v>
      </c>
      <c r="H8" s="222">
        <v>45960</v>
      </c>
      <c r="I8" s="223">
        <v>5126.74</v>
      </c>
      <c r="J8" s="218" t="s">
        <v>146</v>
      </c>
      <c r="K8" s="223">
        <v>5126.74</v>
      </c>
      <c r="L8" s="218" t="s">
        <v>146</v>
      </c>
      <c r="M8" s="218" t="s">
        <v>401</v>
      </c>
      <c r="N8" s="218" t="s">
        <v>402</v>
      </c>
      <c r="O8" s="218" t="s">
        <v>155</v>
      </c>
      <c r="P8" s="218" t="s">
        <v>156</v>
      </c>
      <c r="Q8" s="218" t="s">
        <v>147</v>
      </c>
      <c r="R8" s="218" t="s">
        <v>147</v>
      </c>
      <c r="S8" s="218" t="s">
        <v>147</v>
      </c>
      <c r="T8" s="218" t="s">
        <v>147</v>
      </c>
      <c r="U8" s="218" t="s">
        <v>157</v>
      </c>
      <c r="V8" s="218" t="s">
        <v>147</v>
      </c>
      <c r="W8" s="218" t="s">
        <v>147</v>
      </c>
      <c r="X8" s="218" t="s">
        <v>147</v>
      </c>
      <c r="Y8" s="218" t="s">
        <v>148</v>
      </c>
      <c r="Z8" s="218" t="s">
        <v>159</v>
      </c>
      <c r="AA8" s="218" t="s">
        <v>147</v>
      </c>
    </row>
    <row r="9" spans="1:27" s="218" customFormat="1" ht="14">
      <c r="A9" s="218" t="s">
        <v>142</v>
      </c>
      <c r="B9" s="218" t="s">
        <v>143</v>
      </c>
      <c r="C9" s="218" t="s">
        <v>383</v>
      </c>
      <c r="D9" s="218" t="s">
        <v>144</v>
      </c>
      <c r="E9" s="218" t="s">
        <v>403</v>
      </c>
      <c r="F9" s="218" t="s">
        <v>150</v>
      </c>
      <c r="G9" s="222">
        <v>45960</v>
      </c>
      <c r="H9" s="222">
        <v>45960</v>
      </c>
      <c r="I9" s="223">
        <v>199.51</v>
      </c>
      <c r="J9" s="218" t="s">
        <v>146</v>
      </c>
      <c r="K9" s="223">
        <v>199.51</v>
      </c>
      <c r="L9" s="218" t="s">
        <v>146</v>
      </c>
      <c r="M9" s="218" t="s">
        <v>404</v>
      </c>
      <c r="N9" s="218" t="s">
        <v>405</v>
      </c>
      <c r="O9" s="218" t="s">
        <v>406</v>
      </c>
      <c r="P9" s="218" t="s">
        <v>156</v>
      </c>
      <c r="Q9" s="218" t="s">
        <v>147</v>
      </c>
      <c r="R9" s="218" t="s">
        <v>147</v>
      </c>
      <c r="S9" s="218" t="s">
        <v>147</v>
      </c>
      <c r="T9" s="218" t="s">
        <v>147</v>
      </c>
      <c r="U9" s="218" t="s">
        <v>158</v>
      </c>
      <c r="V9" s="218" t="s">
        <v>147</v>
      </c>
      <c r="W9" s="218" t="s">
        <v>147</v>
      </c>
      <c r="X9" s="218" t="s">
        <v>147</v>
      </c>
      <c r="Y9" s="218" t="s">
        <v>148</v>
      </c>
      <c r="Z9" s="218" t="s">
        <v>159</v>
      </c>
      <c r="AA9" s="218" t="s">
        <v>147</v>
      </c>
    </row>
    <row r="10" spans="1:27" s="218" customFormat="1" ht="14">
      <c r="A10" s="218" t="s">
        <v>142</v>
      </c>
      <c r="B10" s="218" t="s">
        <v>143</v>
      </c>
      <c r="C10" s="218" t="s">
        <v>383</v>
      </c>
      <c r="D10" s="218" t="s">
        <v>144</v>
      </c>
      <c r="E10" s="218" t="s">
        <v>407</v>
      </c>
      <c r="F10" s="218" t="s">
        <v>150</v>
      </c>
      <c r="G10" s="222">
        <v>45960</v>
      </c>
      <c r="H10" s="222">
        <v>45960</v>
      </c>
      <c r="I10" s="223">
        <v>77382.52</v>
      </c>
      <c r="J10" s="218" t="s">
        <v>146</v>
      </c>
      <c r="K10" s="223">
        <v>77382.52</v>
      </c>
      <c r="L10" s="218" t="s">
        <v>146</v>
      </c>
      <c r="M10" s="218" t="s">
        <v>408</v>
      </c>
      <c r="N10" s="218" t="s">
        <v>409</v>
      </c>
      <c r="O10" s="218" t="s">
        <v>410</v>
      </c>
      <c r="P10" s="218" t="s">
        <v>156</v>
      </c>
      <c r="Q10" s="218" t="s">
        <v>147</v>
      </c>
      <c r="R10" s="218" t="s">
        <v>147</v>
      </c>
      <c r="S10" s="218" t="s">
        <v>147</v>
      </c>
      <c r="T10" s="218" t="s">
        <v>147</v>
      </c>
      <c r="U10" s="218" t="s">
        <v>411</v>
      </c>
      <c r="V10" s="218" t="s">
        <v>147</v>
      </c>
      <c r="W10" s="218" t="s">
        <v>147</v>
      </c>
      <c r="X10" s="218" t="s">
        <v>147</v>
      </c>
      <c r="Y10" s="218" t="s">
        <v>148</v>
      </c>
      <c r="Z10" s="218" t="s">
        <v>159</v>
      </c>
      <c r="AA10" s="218" t="s">
        <v>147</v>
      </c>
    </row>
    <row r="11" spans="1:27" s="218" customFormat="1" ht="14">
      <c r="A11" s="218" t="s">
        <v>142</v>
      </c>
      <c r="B11" s="218" t="s">
        <v>143</v>
      </c>
      <c r="C11" s="218" t="s">
        <v>383</v>
      </c>
      <c r="D11" s="218" t="s">
        <v>144</v>
      </c>
      <c r="E11" s="218" t="s">
        <v>412</v>
      </c>
      <c r="F11" s="218" t="s">
        <v>150</v>
      </c>
      <c r="G11" s="222">
        <v>45961</v>
      </c>
      <c r="H11" s="222">
        <v>45961</v>
      </c>
      <c r="I11" s="223">
        <v>39562.6</v>
      </c>
      <c r="J11" s="218" t="s">
        <v>146</v>
      </c>
      <c r="K11" s="223">
        <v>39562.6</v>
      </c>
      <c r="L11" s="218" t="s">
        <v>146</v>
      </c>
      <c r="M11" s="218" t="s">
        <v>413</v>
      </c>
      <c r="N11" s="218" t="s">
        <v>414</v>
      </c>
      <c r="O11" s="218" t="s">
        <v>155</v>
      </c>
      <c r="P11" s="218" t="s">
        <v>156</v>
      </c>
      <c r="Q11" s="218" t="s">
        <v>147</v>
      </c>
      <c r="R11" s="218" t="s">
        <v>147</v>
      </c>
      <c r="S11" s="218" t="s">
        <v>147</v>
      </c>
      <c r="T11" s="218" t="s">
        <v>147</v>
      </c>
      <c r="U11" s="218" t="s">
        <v>157</v>
      </c>
      <c r="V11" s="218" t="s">
        <v>147</v>
      </c>
      <c r="W11" s="218" t="s">
        <v>147</v>
      </c>
      <c r="X11" s="218" t="s">
        <v>147</v>
      </c>
      <c r="Y11" s="218" t="s">
        <v>148</v>
      </c>
      <c r="Z11" s="218" t="s">
        <v>415</v>
      </c>
      <c r="AA11" s="218" t="s">
        <v>147</v>
      </c>
    </row>
    <row r="12" spans="1:27" s="218" customFormat="1" ht="14">
      <c r="A12" s="218" t="s">
        <v>142</v>
      </c>
      <c r="B12" s="218" t="s">
        <v>143</v>
      </c>
      <c r="C12" s="218" t="s">
        <v>383</v>
      </c>
      <c r="D12" s="218" t="s">
        <v>144</v>
      </c>
      <c r="E12" s="218" t="s">
        <v>416</v>
      </c>
      <c r="F12" s="218" t="s">
        <v>150</v>
      </c>
      <c r="G12" s="222">
        <v>45961</v>
      </c>
      <c r="H12" s="222">
        <v>45961</v>
      </c>
      <c r="I12" s="223">
        <v>10408.58</v>
      </c>
      <c r="J12" s="218" t="s">
        <v>146</v>
      </c>
      <c r="K12" s="223">
        <v>10408.58</v>
      </c>
      <c r="L12" s="218" t="s">
        <v>146</v>
      </c>
      <c r="M12" s="218" t="s">
        <v>417</v>
      </c>
      <c r="N12" s="218" t="s">
        <v>418</v>
      </c>
      <c r="O12" s="218" t="s">
        <v>419</v>
      </c>
      <c r="P12" s="218" t="s">
        <v>156</v>
      </c>
      <c r="Q12" s="218" t="s">
        <v>147</v>
      </c>
      <c r="R12" s="218" t="s">
        <v>147</v>
      </c>
      <c r="S12" s="218" t="s">
        <v>147</v>
      </c>
      <c r="T12" s="218" t="s">
        <v>147</v>
      </c>
      <c r="U12" s="218" t="s">
        <v>158</v>
      </c>
      <c r="V12" s="218" t="s">
        <v>147</v>
      </c>
      <c r="W12" s="218" t="s">
        <v>147</v>
      </c>
      <c r="X12" s="218" t="s">
        <v>147</v>
      </c>
      <c r="Y12" s="218" t="s">
        <v>148</v>
      </c>
      <c r="Z12" s="218" t="s">
        <v>415</v>
      </c>
      <c r="AA12" s="218" t="s">
        <v>147</v>
      </c>
    </row>
    <row r="13" spans="1:27" s="218" customFormat="1" ht="14">
      <c r="A13" s="218" t="s">
        <v>142</v>
      </c>
      <c r="B13" s="218" t="s">
        <v>143</v>
      </c>
      <c r="C13" s="218" t="s">
        <v>383</v>
      </c>
      <c r="D13" s="218" t="s">
        <v>144</v>
      </c>
      <c r="E13" s="218" t="s">
        <v>420</v>
      </c>
      <c r="F13" s="218" t="s">
        <v>150</v>
      </c>
      <c r="G13" s="222">
        <v>45961</v>
      </c>
      <c r="H13" s="222">
        <v>45961</v>
      </c>
      <c r="I13" s="223">
        <v>10575.76</v>
      </c>
      <c r="J13" s="218" t="s">
        <v>146</v>
      </c>
      <c r="K13" s="223">
        <v>10575.76</v>
      </c>
      <c r="L13" s="218" t="s">
        <v>146</v>
      </c>
      <c r="M13" s="218" t="s">
        <v>421</v>
      </c>
      <c r="N13" s="218" t="s">
        <v>422</v>
      </c>
      <c r="O13" s="218" t="s">
        <v>423</v>
      </c>
      <c r="P13" s="218" t="s">
        <v>156</v>
      </c>
      <c r="Q13" s="218" t="s">
        <v>147</v>
      </c>
      <c r="R13" s="218" t="s">
        <v>147</v>
      </c>
      <c r="S13" s="218" t="s">
        <v>147</v>
      </c>
      <c r="T13" s="218" t="s">
        <v>147</v>
      </c>
      <c r="U13" s="218" t="s">
        <v>158</v>
      </c>
      <c r="V13" s="218" t="s">
        <v>147</v>
      </c>
      <c r="W13" s="218" t="s">
        <v>147</v>
      </c>
      <c r="X13" s="218" t="s">
        <v>147</v>
      </c>
      <c r="Y13" s="218" t="s">
        <v>148</v>
      </c>
      <c r="Z13" s="218" t="s">
        <v>415</v>
      </c>
      <c r="AA13" s="218" t="s">
        <v>147</v>
      </c>
    </row>
    <row r="14" spans="1:27" s="218" customFormat="1" ht="14">
      <c r="A14" s="218" t="s">
        <v>142</v>
      </c>
      <c r="B14" s="218" t="s">
        <v>143</v>
      </c>
      <c r="C14" s="218" t="s">
        <v>383</v>
      </c>
      <c r="D14" s="218" t="s">
        <v>144</v>
      </c>
      <c r="E14" s="218" t="s">
        <v>424</v>
      </c>
      <c r="F14" s="218" t="s">
        <v>150</v>
      </c>
      <c r="G14" s="222">
        <v>45961</v>
      </c>
      <c r="H14" s="222">
        <v>45961</v>
      </c>
      <c r="I14" s="223">
        <v>1176613.55</v>
      </c>
      <c r="J14" s="218" t="s">
        <v>146</v>
      </c>
      <c r="K14" s="223">
        <v>1176613.55</v>
      </c>
      <c r="L14" s="218" t="s">
        <v>146</v>
      </c>
      <c r="M14" s="218" t="s">
        <v>425</v>
      </c>
      <c r="N14" s="218" t="s">
        <v>426</v>
      </c>
      <c r="O14" s="218" t="s">
        <v>427</v>
      </c>
      <c r="P14" s="218" t="s">
        <v>156</v>
      </c>
      <c r="Q14" s="218" t="s">
        <v>147</v>
      </c>
      <c r="R14" s="218" t="s">
        <v>147</v>
      </c>
      <c r="S14" s="218" t="s">
        <v>147</v>
      </c>
      <c r="T14" s="218" t="s">
        <v>147</v>
      </c>
      <c r="U14" s="218" t="s">
        <v>160</v>
      </c>
      <c r="V14" s="218" t="s">
        <v>147</v>
      </c>
      <c r="W14" s="218" t="s">
        <v>147</v>
      </c>
      <c r="X14" s="218" t="s">
        <v>147</v>
      </c>
      <c r="Y14" s="218" t="s">
        <v>148</v>
      </c>
      <c r="Z14" s="218" t="s">
        <v>415</v>
      </c>
      <c r="AA14" s="218" t="s">
        <v>147</v>
      </c>
    </row>
    <row r="15" spans="1:27" s="218" customFormat="1" ht="14">
      <c r="A15" s="218" t="s">
        <v>142</v>
      </c>
      <c r="B15" s="218" t="s">
        <v>143</v>
      </c>
      <c r="C15" s="218" t="s">
        <v>383</v>
      </c>
      <c r="D15" s="218" t="s">
        <v>144</v>
      </c>
      <c r="E15" s="218" t="s">
        <v>428</v>
      </c>
      <c r="F15" s="218" t="s">
        <v>150</v>
      </c>
      <c r="G15" s="222">
        <v>45961</v>
      </c>
      <c r="H15" s="222">
        <v>45961</v>
      </c>
      <c r="I15" s="223">
        <v>196746.55</v>
      </c>
      <c r="J15" s="218" t="s">
        <v>146</v>
      </c>
      <c r="K15" s="223">
        <v>196746.55</v>
      </c>
      <c r="L15" s="218" t="s">
        <v>146</v>
      </c>
      <c r="M15" s="218" t="s">
        <v>429</v>
      </c>
      <c r="N15" s="218" t="s">
        <v>430</v>
      </c>
      <c r="O15" s="218" t="s">
        <v>431</v>
      </c>
      <c r="P15" s="218" t="s">
        <v>156</v>
      </c>
      <c r="Q15" s="218" t="s">
        <v>147</v>
      </c>
      <c r="R15" s="218" t="s">
        <v>147</v>
      </c>
      <c r="S15" s="218" t="s">
        <v>147</v>
      </c>
      <c r="T15" s="218" t="s">
        <v>147</v>
      </c>
      <c r="U15" s="218" t="s">
        <v>432</v>
      </c>
      <c r="V15" s="218" t="s">
        <v>147</v>
      </c>
      <c r="W15" s="218" t="s">
        <v>147</v>
      </c>
      <c r="X15" s="218" t="s">
        <v>147</v>
      </c>
      <c r="Y15" s="218" t="s">
        <v>148</v>
      </c>
      <c r="Z15" s="218" t="s">
        <v>415</v>
      </c>
      <c r="AA15" s="218" t="s">
        <v>147</v>
      </c>
    </row>
    <row r="16" spans="1:27" s="218" customFormat="1" ht="14">
      <c r="A16" s="218" t="s">
        <v>142</v>
      </c>
      <c r="B16" s="218" t="s">
        <v>143</v>
      </c>
      <c r="C16" s="218" t="s">
        <v>383</v>
      </c>
      <c r="D16" s="218" t="s">
        <v>144</v>
      </c>
      <c r="E16" s="218" t="s">
        <v>433</v>
      </c>
      <c r="F16" s="218" t="s">
        <v>150</v>
      </c>
      <c r="G16" s="222">
        <v>45961</v>
      </c>
      <c r="H16" s="222">
        <v>45961</v>
      </c>
      <c r="I16" s="223">
        <v>225115.82</v>
      </c>
      <c r="J16" s="218" t="s">
        <v>146</v>
      </c>
      <c r="K16" s="223">
        <v>225115.82</v>
      </c>
      <c r="L16" s="218" t="s">
        <v>146</v>
      </c>
      <c r="M16" s="218" t="s">
        <v>434</v>
      </c>
      <c r="N16" s="218" t="s">
        <v>435</v>
      </c>
      <c r="O16" s="218" t="s">
        <v>436</v>
      </c>
      <c r="P16" s="218" t="s">
        <v>156</v>
      </c>
      <c r="Q16" s="218" t="s">
        <v>147</v>
      </c>
      <c r="R16" s="218" t="s">
        <v>147</v>
      </c>
      <c r="S16" s="218" t="s">
        <v>147</v>
      </c>
      <c r="T16" s="218" t="s">
        <v>147</v>
      </c>
      <c r="U16" s="218" t="s">
        <v>399</v>
      </c>
      <c r="V16" s="218" t="s">
        <v>147</v>
      </c>
      <c r="W16" s="218" t="s">
        <v>147</v>
      </c>
      <c r="X16" s="218" t="s">
        <v>147</v>
      </c>
      <c r="Y16" s="218" t="s">
        <v>148</v>
      </c>
      <c r="Z16" s="218" t="s">
        <v>415</v>
      </c>
      <c r="AA16" s="218" t="s">
        <v>147</v>
      </c>
    </row>
    <row r="17" spans="1:27" s="218" customFormat="1" ht="14">
      <c r="A17" s="218" t="s">
        <v>142</v>
      </c>
      <c r="B17" s="218" t="s">
        <v>143</v>
      </c>
      <c r="C17" s="218" t="s">
        <v>383</v>
      </c>
      <c r="D17" s="218" t="s">
        <v>144</v>
      </c>
      <c r="E17" s="218" t="s">
        <v>437</v>
      </c>
      <c r="F17" s="218" t="s">
        <v>150</v>
      </c>
      <c r="G17" s="222">
        <v>45961</v>
      </c>
      <c r="H17" s="222">
        <v>45961</v>
      </c>
      <c r="I17" s="223">
        <v>188.78</v>
      </c>
      <c r="J17" s="218" t="s">
        <v>146</v>
      </c>
      <c r="K17" s="223">
        <v>188.78</v>
      </c>
      <c r="L17" s="218" t="s">
        <v>146</v>
      </c>
      <c r="M17" s="218" t="s">
        <v>438</v>
      </c>
      <c r="N17" s="218" t="s">
        <v>439</v>
      </c>
      <c r="O17" s="218" t="s">
        <v>440</v>
      </c>
      <c r="P17" s="218" t="s">
        <v>156</v>
      </c>
      <c r="Q17" s="218" t="s">
        <v>147</v>
      </c>
      <c r="R17" s="218" t="s">
        <v>147</v>
      </c>
      <c r="S17" s="218" t="s">
        <v>147</v>
      </c>
      <c r="T17" s="218" t="s">
        <v>147</v>
      </c>
      <c r="U17" s="218" t="s">
        <v>158</v>
      </c>
      <c r="V17" s="218" t="s">
        <v>147</v>
      </c>
      <c r="W17" s="218" t="s">
        <v>147</v>
      </c>
      <c r="X17" s="218" t="s">
        <v>147</v>
      </c>
      <c r="Y17" s="218" t="s">
        <v>148</v>
      </c>
      <c r="Z17" s="218" t="s">
        <v>415</v>
      </c>
      <c r="AA17" s="218" t="s">
        <v>147</v>
      </c>
    </row>
    <row r="18" spans="1:27" s="218" customFormat="1" ht="14">
      <c r="A18" s="218" t="s">
        <v>142</v>
      </c>
      <c r="B18" s="218" t="s">
        <v>143</v>
      </c>
      <c r="C18" s="218" t="s">
        <v>383</v>
      </c>
      <c r="D18" s="218" t="s">
        <v>144</v>
      </c>
      <c r="E18" s="218" t="s">
        <v>441</v>
      </c>
      <c r="F18" s="218" t="s">
        <v>150</v>
      </c>
      <c r="G18" s="222">
        <v>45961</v>
      </c>
      <c r="H18" s="222">
        <v>45961</v>
      </c>
      <c r="I18" s="223">
        <v>5979.43</v>
      </c>
      <c r="J18" s="218" t="s">
        <v>146</v>
      </c>
      <c r="K18" s="223">
        <v>5979.43</v>
      </c>
      <c r="L18" s="218" t="s">
        <v>146</v>
      </c>
      <c r="M18" s="218" t="s">
        <v>442</v>
      </c>
      <c r="N18" s="218" t="s">
        <v>443</v>
      </c>
      <c r="O18" s="218" t="s">
        <v>155</v>
      </c>
      <c r="P18" s="218" t="s">
        <v>156</v>
      </c>
      <c r="Q18" s="218" t="s">
        <v>147</v>
      </c>
      <c r="R18" s="218" t="s">
        <v>147</v>
      </c>
      <c r="S18" s="218" t="s">
        <v>147</v>
      </c>
      <c r="T18" s="218" t="s">
        <v>147</v>
      </c>
      <c r="U18" s="218" t="s">
        <v>157</v>
      </c>
      <c r="V18" s="218" t="s">
        <v>147</v>
      </c>
      <c r="W18" s="218" t="s">
        <v>147</v>
      </c>
      <c r="X18" s="218" t="s">
        <v>147</v>
      </c>
      <c r="Y18" s="218" t="s">
        <v>148</v>
      </c>
      <c r="Z18" s="218" t="s">
        <v>149</v>
      </c>
      <c r="AA18" s="218" t="s">
        <v>147</v>
      </c>
    </row>
    <row r="21" spans="1:27">
      <c r="K21" s="224">
        <f>SUM(K2:K20)</f>
        <v>1768366.1</v>
      </c>
    </row>
    <row r="1048484" s="219" customFormat="1"/>
    <row r="1048485" s="219" customFormat="1"/>
    <row r="1048486" s="219" customFormat="1"/>
    <row r="1048487" s="219" customFormat="1"/>
    <row r="1048488" s="219" customFormat="1"/>
    <row r="1048489" s="219" customFormat="1"/>
    <row r="1048490" s="219" customFormat="1"/>
    <row r="1048491" s="219" customFormat="1"/>
    <row r="1048492" s="219" customFormat="1"/>
    <row r="1048493" s="219" customFormat="1"/>
    <row r="1048494" s="219" customFormat="1"/>
  </sheetData>
  <phoneticPr fontId="62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tabSelected="1" workbookViewId="0">
      <selection activeCell="G42" sqref="G42:G43"/>
    </sheetView>
  </sheetViews>
  <sheetFormatPr defaultColWidth="8.6640625" defaultRowHeight="14"/>
  <sheetData/>
  <phoneticPr fontId="6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44"/>
  <sheetViews>
    <sheetView topLeftCell="A7" zoomScale="70" zoomScaleNormal="70" workbookViewId="0">
      <selection activeCell="F54" sqref="F54"/>
    </sheetView>
  </sheetViews>
  <sheetFormatPr defaultColWidth="8.83203125" defaultRowHeight="16.5"/>
  <cols>
    <col min="1" max="1" width="8.83203125" style="197"/>
    <col min="2" max="2" width="19.1640625" style="197" customWidth="1"/>
    <col min="3" max="3" width="22.83203125" style="197" customWidth="1"/>
    <col min="4" max="4" width="21.5" style="197" customWidth="1"/>
    <col min="5" max="5" width="14.5" style="198" customWidth="1"/>
    <col min="6" max="9" width="17" style="197" customWidth="1"/>
    <col min="10" max="16384" width="8.83203125" style="197"/>
  </cols>
  <sheetData>
    <row r="1" spans="1:8">
      <c r="A1" s="199" t="s">
        <v>161</v>
      </c>
      <c r="B1" s="200"/>
      <c r="C1" s="200"/>
      <c r="D1" s="201" t="s">
        <v>162</v>
      </c>
      <c r="E1" s="202">
        <v>45838</v>
      </c>
      <c r="F1" s="203" t="s">
        <v>163</v>
      </c>
      <c r="G1" s="200"/>
      <c r="H1" s="200" t="s">
        <v>164</v>
      </c>
    </row>
    <row r="2" spans="1:8">
      <c r="A2" s="204" t="s">
        <v>165</v>
      </c>
      <c r="B2" s="204" t="s">
        <v>166</v>
      </c>
      <c r="C2" s="204" t="s">
        <v>167</v>
      </c>
      <c r="D2" s="205" t="s">
        <v>168</v>
      </c>
      <c r="E2" s="204" t="s">
        <v>169</v>
      </c>
      <c r="F2" s="204" t="s">
        <v>170</v>
      </c>
      <c r="G2" s="204" t="s">
        <v>171</v>
      </c>
      <c r="H2" s="204" t="s">
        <v>172</v>
      </c>
    </row>
    <row r="3" spans="1:8">
      <c r="A3" s="206">
        <v>1</v>
      </c>
      <c r="B3" s="206" t="s">
        <v>173</v>
      </c>
      <c r="C3" s="207">
        <v>0</v>
      </c>
      <c r="D3" s="208">
        <v>5.0000000000000002E-5</v>
      </c>
      <c r="E3" s="207">
        <v>0</v>
      </c>
      <c r="F3" s="207">
        <v>0</v>
      </c>
      <c r="G3" s="207"/>
      <c r="H3" s="207">
        <v>0</v>
      </c>
    </row>
    <row r="4" spans="1:8">
      <c r="A4" s="206">
        <v>2</v>
      </c>
      <c r="B4" s="206" t="s">
        <v>174</v>
      </c>
      <c r="C4" s="207">
        <v>0</v>
      </c>
      <c r="D4" s="208">
        <v>5.0000000000000002E-5</v>
      </c>
      <c r="E4" s="207">
        <v>0</v>
      </c>
      <c r="F4" s="207">
        <v>0</v>
      </c>
      <c r="G4" s="207"/>
      <c r="H4" s="207">
        <v>0</v>
      </c>
    </row>
    <row r="5" spans="1:8">
      <c r="A5" s="206">
        <v>3</v>
      </c>
      <c r="B5" s="206" t="s">
        <v>175</v>
      </c>
      <c r="C5" s="207">
        <v>0</v>
      </c>
      <c r="D5" s="208">
        <v>2.9999999999999997E-4</v>
      </c>
      <c r="E5" s="207">
        <v>0</v>
      </c>
      <c r="F5" s="207">
        <v>0</v>
      </c>
      <c r="G5" s="207"/>
      <c r="H5" s="207">
        <v>0</v>
      </c>
    </row>
    <row r="6" spans="1:8">
      <c r="A6" s="206">
        <v>4</v>
      </c>
      <c r="B6" s="206" t="s">
        <v>176</v>
      </c>
      <c r="C6" s="207">
        <v>0</v>
      </c>
      <c r="D6" s="208">
        <v>2.9999999999999997E-4</v>
      </c>
      <c r="E6" s="207">
        <v>0</v>
      </c>
      <c r="F6" s="207">
        <v>0</v>
      </c>
      <c r="G6" s="207"/>
      <c r="H6" s="207">
        <v>0</v>
      </c>
    </row>
    <row r="7" spans="1:8">
      <c r="A7" s="206">
        <v>5</v>
      </c>
      <c r="B7" s="206" t="s">
        <v>177</v>
      </c>
      <c r="C7" s="207">
        <v>0</v>
      </c>
      <c r="D7" s="208">
        <v>2.9999999999999997E-4</v>
      </c>
      <c r="E7" s="207">
        <v>0</v>
      </c>
      <c r="F7" s="207">
        <v>0</v>
      </c>
      <c r="G7" s="207"/>
      <c r="H7" s="207">
        <v>0</v>
      </c>
    </row>
    <row r="8" spans="1:8">
      <c r="A8" s="206">
        <v>6</v>
      </c>
      <c r="B8" s="206" t="s">
        <v>178</v>
      </c>
      <c r="C8" s="207">
        <v>0</v>
      </c>
      <c r="D8" s="208">
        <v>2.9999999999999997E-4</v>
      </c>
      <c r="E8" s="207">
        <v>0</v>
      </c>
      <c r="F8" s="207">
        <v>0</v>
      </c>
      <c r="G8" s="207"/>
      <c r="H8" s="207">
        <v>0</v>
      </c>
    </row>
    <row r="9" spans="1:8">
      <c r="A9" s="206">
        <v>7</v>
      </c>
      <c r="B9" s="206" t="s">
        <v>179</v>
      </c>
      <c r="C9" s="207">
        <v>21253142.649999999</v>
      </c>
      <c r="D9" s="208">
        <v>2.9999999999999997E-4</v>
      </c>
      <c r="E9" s="207">
        <v>6375.9427949999999</v>
      </c>
      <c r="F9" s="207">
        <v>3187.9713975</v>
      </c>
      <c r="G9" s="207"/>
      <c r="H9" s="207">
        <v>3187.97</v>
      </c>
    </row>
    <row r="10" spans="1:8">
      <c r="A10" s="206">
        <v>8</v>
      </c>
      <c r="B10" s="206" t="s">
        <v>180</v>
      </c>
      <c r="C10" s="207">
        <v>0</v>
      </c>
      <c r="D10" s="208">
        <v>1E-3</v>
      </c>
      <c r="E10" s="207">
        <v>0</v>
      </c>
      <c r="F10" s="207">
        <v>0</v>
      </c>
      <c r="G10" s="207"/>
      <c r="H10" s="207">
        <v>0</v>
      </c>
    </row>
    <row r="11" spans="1:8">
      <c r="A11" s="206">
        <v>9</v>
      </c>
      <c r="B11" s="206" t="s">
        <v>181</v>
      </c>
      <c r="C11" s="207">
        <v>0</v>
      </c>
      <c r="D11" s="208">
        <v>1E-3</v>
      </c>
      <c r="E11" s="207">
        <v>0</v>
      </c>
      <c r="F11" s="207">
        <v>0</v>
      </c>
      <c r="G11" s="207"/>
      <c r="H11" s="207">
        <v>0</v>
      </c>
    </row>
    <row r="12" spans="1:8">
      <c r="A12" s="206">
        <v>10</v>
      </c>
      <c r="B12" s="206" t="s">
        <v>182</v>
      </c>
      <c r="C12" s="207">
        <v>0</v>
      </c>
      <c r="D12" s="208">
        <v>1E-3</v>
      </c>
      <c r="E12" s="207">
        <v>0</v>
      </c>
      <c r="F12" s="207">
        <v>0</v>
      </c>
      <c r="G12" s="207"/>
      <c r="H12" s="207">
        <v>0</v>
      </c>
    </row>
    <row r="13" spans="1:8">
      <c r="A13" s="206">
        <v>11</v>
      </c>
      <c r="B13" s="206" t="s">
        <v>183</v>
      </c>
      <c r="C13" s="207">
        <v>81022.16</v>
      </c>
      <c r="D13" s="208">
        <v>1E-3</v>
      </c>
      <c r="E13" s="207">
        <v>81.02216</v>
      </c>
      <c r="F13" s="207">
        <v>40.51108</v>
      </c>
      <c r="G13" s="207"/>
      <c r="H13" s="207">
        <v>40.51</v>
      </c>
    </row>
    <row r="14" spans="1:8">
      <c r="A14" s="206">
        <v>12</v>
      </c>
      <c r="B14" s="209" t="s">
        <v>184</v>
      </c>
      <c r="C14" s="207">
        <v>0</v>
      </c>
      <c r="D14" s="208">
        <v>5.0000000000000001E-4</v>
      </c>
      <c r="E14" s="207">
        <v>0</v>
      </c>
      <c r="F14" s="207">
        <v>0</v>
      </c>
      <c r="G14" s="207"/>
      <c r="H14" s="207">
        <v>0</v>
      </c>
    </row>
    <row r="15" spans="1:8">
      <c r="A15" s="206">
        <v>13</v>
      </c>
      <c r="B15" s="209" t="s">
        <v>185</v>
      </c>
      <c r="C15" s="207">
        <v>0</v>
      </c>
      <c r="D15" s="208">
        <v>5.0000000000000001E-4</v>
      </c>
      <c r="E15" s="207">
        <v>0</v>
      </c>
      <c r="F15" s="207">
        <v>0</v>
      </c>
      <c r="G15" s="207"/>
      <c r="H15" s="207">
        <v>0</v>
      </c>
    </row>
    <row r="16" spans="1:8">
      <c r="A16" s="206">
        <v>14</v>
      </c>
      <c r="B16" s="209" t="s">
        <v>186</v>
      </c>
      <c r="C16" s="207">
        <v>0</v>
      </c>
      <c r="D16" s="208">
        <v>5.0000000000000001E-4</v>
      </c>
      <c r="E16" s="207">
        <v>0</v>
      </c>
      <c r="F16" s="207">
        <v>0</v>
      </c>
      <c r="G16" s="207"/>
      <c r="H16" s="207">
        <v>0</v>
      </c>
    </row>
    <row r="17" spans="1:8">
      <c r="A17" s="206">
        <v>15</v>
      </c>
      <c r="B17" s="209" t="s">
        <v>187</v>
      </c>
      <c r="C17" s="207">
        <v>0</v>
      </c>
      <c r="D17" s="208">
        <v>2.9999999999999997E-4</v>
      </c>
      <c r="E17" s="207">
        <v>0</v>
      </c>
      <c r="F17" s="207">
        <v>0</v>
      </c>
      <c r="G17" s="207"/>
      <c r="H17" s="207">
        <v>0</v>
      </c>
    </row>
    <row r="18" spans="1:8">
      <c r="A18" s="206">
        <v>16</v>
      </c>
      <c r="B18" s="206" t="s">
        <v>188</v>
      </c>
      <c r="C18" s="207">
        <v>0</v>
      </c>
      <c r="D18" s="208">
        <v>2.5000000000000001E-4</v>
      </c>
      <c r="E18" s="207">
        <v>0</v>
      </c>
      <c r="F18" s="207">
        <v>0</v>
      </c>
      <c r="G18" s="207"/>
      <c r="H18" s="207">
        <v>0</v>
      </c>
    </row>
    <row r="19" spans="1:8">
      <c r="A19" s="206">
        <v>17</v>
      </c>
      <c r="B19" s="206" t="s">
        <v>189</v>
      </c>
      <c r="C19" s="207">
        <v>0</v>
      </c>
      <c r="D19" s="208">
        <v>1E-3</v>
      </c>
      <c r="E19" s="207">
        <v>0</v>
      </c>
      <c r="F19" s="207">
        <v>0</v>
      </c>
      <c r="G19" s="207"/>
      <c r="H19" s="207">
        <v>0</v>
      </c>
    </row>
    <row r="20" spans="1:8">
      <c r="A20" s="210"/>
      <c r="B20" s="210" t="s">
        <v>190</v>
      </c>
      <c r="C20" s="211">
        <v>21334164.809999999</v>
      </c>
      <c r="D20" s="212"/>
      <c r="E20" s="211">
        <v>6456.9649550000004</v>
      </c>
      <c r="F20" s="211">
        <v>3228.4824775000002</v>
      </c>
      <c r="G20" s="211">
        <v>0</v>
      </c>
      <c r="H20" s="211">
        <v>3228.48</v>
      </c>
    </row>
    <row r="24" spans="1:8">
      <c r="A24" s="199" t="s">
        <v>161</v>
      </c>
      <c r="B24" s="200"/>
      <c r="C24" s="200"/>
      <c r="D24" s="201" t="s">
        <v>162</v>
      </c>
      <c r="E24" s="202" t="s">
        <v>191</v>
      </c>
      <c r="F24" s="213" t="s">
        <v>192</v>
      </c>
      <c r="G24" s="200"/>
      <c r="H24" s="200" t="s">
        <v>164</v>
      </c>
    </row>
    <row r="25" spans="1:8">
      <c r="A25" s="214" t="s">
        <v>165</v>
      </c>
      <c r="B25" s="214" t="s">
        <v>166</v>
      </c>
      <c r="C25" s="214" t="s">
        <v>167</v>
      </c>
      <c r="D25" s="215" t="s">
        <v>168</v>
      </c>
      <c r="E25" s="214" t="s">
        <v>169</v>
      </c>
      <c r="F25" s="214" t="s">
        <v>170</v>
      </c>
      <c r="G25" s="214" t="s">
        <v>171</v>
      </c>
      <c r="H25" s="214" t="s">
        <v>172</v>
      </c>
    </row>
    <row r="26" spans="1:8">
      <c r="A26" s="206">
        <v>1</v>
      </c>
      <c r="B26" s="206" t="s">
        <v>173</v>
      </c>
      <c r="C26" s="216">
        <v>0</v>
      </c>
      <c r="D26" s="208">
        <v>5.0000000000000002E-5</v>
      </c>
      <c r="E26" s="216">
        <v>0</v>
      </c>
      <c r="F26" s="216">
        <v>0</v>
      </c>
      <c r="G26" s="216"/>
      <c r="H26" s="216">
        <v>0</v>
      </c>
    </row>
    <row r="27" spans="1:8">
      <c r="A27" s="206">
        <v>2</v>
      </c>
      <c r="B27" s="206" t="s">
        <v>174</v>
      </c>
      <c r="C27" s="216">
        <v>0</v>
      </c>
      <c r="D27" s="208">
        <v>5.0000000000000002E-5</v>
      </c>
      <c r="E27" s="216">
        <v>0</v>
      </c>
      <c r="F27" s="216">
        <v>0</v>
      </c>
      <c r="G27" s="216"/>
      <c r="H27" s="216">
        <v>0</v>
      </c>
    </row>
    <row r="28" spans="1:8">
      <c r="A28" s="206">
        <v>3</v>
      </c>
      <c r="B28" s="206" t="s">
        <v>175</v>
      </c>
      <c r="C28" s="216">
        <v>332481150.44</v>
      </c>
      <c r="D28" s="208">
        <v>2.9999999999999997E-4</v>
      </c>
      <c r="E28" s="216">
        <v>99744.345132000002</v>
      </c>
      <c r="F28" s="216">
        <v>49872.172566000001</v>
      </c>
      <c r="G28" s="216"/>
      <c r="H28" s="216">
        <v>49872.17</v>
      </c>
    </row>
    <row r="29" spans="1:8">
      <c r="A29" s="206">
        <v>4</v>
      </c>
      <c r="B29" s="206" t="s">
        <v>176</v>
      </c>
      <c r="C29" s="216">
        <v>0</v>
      </c>
      <c r="D29" s="208">
        <v>2.9999999999999997E-4</v>
      </c>
      <c r="E29" s="216">
        <v>0</v>
      </c>
      <c r="F29" s="216">
        <v>0</v>
      </c>
      <c r="G29" s="216"/>
      <c r="H29" s="216">
        <v>0</v>
      </c>
    </row>
    <row r="30" spans="1:8">
      <c r="A30" s="206">
        <v>5</v>
      </c>
      <c r="B30" s="206" t="s">
        <v>177</v>
      </c>
      <c r="C30" s="216">
        <v>286173816.86000001</v>
      </c>
      <c r="D30" s="208">
        <v>2.9999999999999997E-4</v>
      </c>
      <c r="E30" s="216">
        <v>85852.145057999995</v>
      </c>
      <c r="F30" s="216">
        <v>42926.072528999997</v>
      </c>
      <c r="G30" s="216"/>
      <c r="H30" s="216">
        <v>42926.07</v>
      </c>
    </row>
    <row r="31" spans="1:8">
      <c r="A31" s="206">
        <v>6</v>
      </c>
      <c r="B31" s="206" t="s">
        <v>178</v>
      </c>
      <c r="C31" s="216">
        <v>0</v>
      </c>
      <c r="D31" s="208">
        <v>2.9999999999999997E-4</v>
      </c>
      <c r="E31" s="216">
        <v>0</v>
      </c>
      <c r="F31" s="216">
        <v>0</v>
      </c>
      <c r="G31" s="216"/>
      <c r="H31" s="216">
        <v>0</v>
      </c>
    </row>
    <row r="32" spans="1:8">
      <c r="A32" s="206">
        <v>7</v>
      </c>
      <c r="B32" s="206" t="s">
        <v>179</v>
      </c>
      <c r="C32" s="216">
        <v>174528.3</v>
      </c>
      <c r="D32" s="208">
        <v>2.9999999999999997E-4</v>
      </c>
      <c r="E32" s="216">
        <v>52.358490000000003</v>
      </c>
      <c r="F32" s="216">
        <v>26.179245000000002</v>
      </c>
      <c r="G32" s="216"/>
      <c r="H32" s="216">
        <v>26.18</v>
      </c>
    </row>
    <row r="33" spans="1:8">
      <c r="A33" s="206">
        <v>8</v>
      </c>
      <c r="B33" s="206" t="s">
        <v>180</v>
      </c>
      <c r="C33" s="216">
        <v>67129.740000000005</v>
      </c>
      <c r="D33" s="208">
        <v>1E-3</v>
      </c>
      <c r="E33" s="216">
        <v>67.129739999999998</v>
      </c>
      <c r="F33" s="216">
        <v>33.564869999999999</v>
      </c>
      <c r="G33" s="216"/>
      <c r="H33" s="216">
        <v>33.56</v>
      </c>
    </row>
    <row r="34" spans="1:8">
      <c r="A34" s="206">
        <v>9</v>
      </c>
      <c r="B34" s="206" t="s">
        <v>181</v>
      </c>
      <c r="C34" s="216">
        <v>0</v>
      </c>
      <c r="D34" s="208">
        <v>1E-3</v>
      </c>
      <c r="E34" s="216">
        <v>0</v>
      </c>
      <c r="F34" s="216">
        <v>0</v>
      </c>
      <c r="G34" s="216"/>
      <c r="H34" s="216">
        <v>0</v>
      </c>
    </row>
    <row r="35" spans="1:8">
      <c r="A35" s="206">
        <v>10</v>
      </c>
      <c r="B35" s="206" t="s">
        <v>182</v>
      </c>
      <c r="C35" s="216">
        <v>0</v>
      </c>
      <c r="D35" s="208">
        <v>1E-3</v>
      </c>
      <c r="E35" s="216">
        <v>0</v>
      </c>
      <c r="F35" s="216">
        <v>0</v>
      </c>
      <c r="G35" s="216"/>
      <c r="H35" s="216">
        <v>0</v>
      </c>
    </row>
    <row r="36" spans="1:8">
      <c r="A36" s="206">
        <v>11</v>
      </c>
      <c r="B36" s="206" t="s">
        <v>183</v>
      </c>
      <c r="C36" s="216">
        <v>0</v>
      </c>
      <c r="D36" s="208">
        <v>1E-3</v>
      </c>
      <c r="E36" s="216">
        <v>0</v>
      </c>
      <c r="F36" s="216">
        <v>0</v>
      </c>
      <c r="G36" s="216"/>
      <c r="H36" s="216">
        <v>0</v>
      </c>
    </row>
    <row r="37" spans="1:8">
      <c r="A37" s="206">
        <v>12</v>
      </c>
      <c r="B37" s="209" t="s">
        <v>184</v>
      </c>
      <c r="C37" s="216">
        <v>0</v>
      </c>
      <c r="D37" s="208">
        <v>5.0000000000000001E-4</v>
      </c>
      <c r="E37" s="216">
        <v>0</v>
      </c>
      <c r="F37" s="216">
        <v>0</v>
      </c>
      <c r="G37" s="216"/>
      <c r="H37" s="216">
        <v>0</v>
      </c>
    </row>
    <row r="38" spans="1:8">
      <c r="A38" s="206">
        <v>13</v>
      </c>
      <c r="B38" s="209" t="s">
        <v>185</v>
      </c>
      <c r="C38" s="216">
        <v>0</v>
      </c>
      <c r="D38" s="208">
        <v>5.0000000000000001E-4</v>
      </c>
      <c r="E38" s="216">
        <v>0</v>
      </c>
      <c r="F38" s="216">
        <v>0</v>
      </c>
      <c r="G38" s="216"/>
      <c r="H38" s="216">
        <v>0</v>
      </c>
    </row>
    <row r="39" spans="1:8">
      <c r="A39" s="206">
        <v>14</v>
      </c>
      <c r="B39" s="209" t="s">
        <v>186</v>
      </c>
      <c r="C39" s="216">
        <v>0</v>
      </c>
      <c r="D39" s="208">
        <v>5.0000000000000001E-4</v>
      </c>
      <c r="E39" s="216">
        <v>0</v>
      </c>
      <c r="F39" s="216">
        <v>0</v>
      </c>
      <c r="G39" s="216"/>
      <c r="H39" s="216">
        <v>0</v>
      </c>
    </row>
    <row r="40" spans="1:8">
      <c r="A40" s="206">
        <v>15</v>
      </c>
      <c r="B40" s="209" t="s">
        <v>187</v>
      </c>
      <c r="C40" s="216">
        <v>0</v>
      </c>
      <c r="D40" s="208">
        <v>2.9999999999999997E-4</v>
      </c>
      <c r="E40" s="216">
        <v>0</v>
      </c>
      <c r="F40" s="216">
        <v>0</v>
      </c>
      <c r="G40" s="216"/>
      <c r="H40" s="216">
        <v>0</v>
      </c>
    </row>
    <row r="41" spans="1:8">
      <c r="A41" s="206">
        <v>16</v>
      </c>
      <c r="B41" s="206" t="s">
        <v>188</v>
      </c>
      <c r="C41" s="216">
        <v>0</v>
      </c>
      <c r="D41" s="208">
        <v>2.5000000000000001E-4</v>
      </c>
      <c r="E41" s="216">
        <v>0</v>
      </c>
      <c r="F41" s="216">
        <v>0</v>
      </c>
      <c r="G41" s="216"/>
      <c r="H41" s="216">
        <v>0</v>
      </c>
    </row>
    <row r="42" spans="1:8">
      <c r="A42" s="206">
        <v>17</v>
      </c>
      <c r="B42" s="206" t="s">
        <v>189</v>
      </c>
      <c r="C42" s="216">
        <v>0</v>
      </c>
      <c r="D42" s="208">
        <v>1E-3</v>
      </c>
      <c r="E42" s="216">
        <v>0</v>
      </c>
      <c r="F42" s="216">
        <v>0</v>
      </c>
      <c r="G42" s="216"/>
      <c r="H42" s="216">
        <v>0</v>
      </c>
    </row>
    <row r="43" spans="1:8">
      <c r="A43" s="210"/>
      <c r="B43" s="210" t="s">
        <v>190</v>
      </c>
      <c r="C43" s="217">
        <v>618896625.34000003</v>
      </c>
      <c r="D43" s="212"/>
      <c r="E43" s="217">
        <v>185715.97842</v>
      </c>
      <c r="F43" s="217">
        <v>92857.98921</v>
      </c>
      <c r="G43" s="217">
        <v>0</v>
      </c>
      <c r="H43" s="217">
        <v>92857.98</v>
      </c>
    </row>
    <row r="44" spans="1:8">
      <c r="D44" s="198"/>
      <c r="E44" s="197"/>
    </row>
  </sheetData>
  <phoneticPr fontId="6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1" tint="0.34998626667073579"/>
    <pageSetUpPr fitToPage="1"/>
  </sheetPr>
  <dimension ref="A1:OD48"/>
  <sheetViews>
    <sheetView topLeftCell="A7" zoomScale="70" zoomScaleNormal="70" workbookViewId="0">
      <selection activeCell="E27" sqref="E27"/>
    </sheetView>
  </sheetViews>
  <sheetFormatPr defaultColWidth="9" defaultRowHeight="14"/>
  <cols>
    <col min="1" max="1" width="3.75" style="47" customWidth="1"/>
    <col min="2" max="2" width="15" style="47" customWidth="1"/>
    <col min="3" max="3" width="32" customWidth="1"/>
    <col min="4" max="4" width="23.33203125" customWidth="1"/>
    <col min="5" max="5" width="18.75" customWidth="1"/>
    <col min="6" max="6" width="21.58203125" style="47" customWidth="1"/>
    <col min="7" max="7" width="12.08203125" customWidth="1"/>
    <col min="8" max="8" width="19.33203125" style="48" customWidth="1"/>
    <col min="9" max="9" width="20.75" style="48" customWidth="1"/>
    <col min="10" max="10" width="19.08203125" style="48" customWidth="1"/>
    <col min="11" max="11" width="19.25" style="48" customWidth="1"/>
    <col min="12" max="12" width="43.58203125" customWidth="1"/>
    <col min="13" max="13" width="12.33203125" style="49" customWidth="1"/>
    <col min="14" max="14" width="43.75" customWidth="1"/>
    <col min="15" max="394" width="8.58203125"/>
  </cols>
  <sheetData>
    <row r="1" spans="1:394" ht="60" customHeight="1">
      <c r="A1" s="266" t="s">
        <v>377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</row>
    <row r="2" spans="1:394" s="19" customFormat="1" ht="26.25" customHeight="1">
      <c r="A2" s="50"/>
      <c r="B2" s="51"/>
      <c r="C2" s="51"/>
      <c r="D2" s="51"/>
      <c r="E2" s="51"/>
      <c r="F2" s="51"/>
      <c r="G2" s="51"/>
      <c r="H2" s="268">
        <v>45931</v>
      </c>
      <c r="I2" s="269"/>
      <c r="J2" s="269"/>
      <c r="K2" s="269"/>
      <c r="L2" s="269"/>
      <c r="M2" s="270"/>
    </row>
    <row r="3" spans="1:394" s="19" customFormat="1" ht="31.5" customHeight="1">
      <c r="A3" s="52" t="s">
        <v>193</v>
      </c>
      <c r="B3" s="53" t="s">
        <v>194</v>
      </c>
      <c r="C3" s="53" t="s">
        <v>195</v>
      </c>
      <c r="D3" s="54" t="s">
        <v>196</v>
      </c>
      <c r="E3" s="55" t="s">
        <v>197</v>
      </c>
      <c r="F3" s="53" t="s">
        <v>198</v>
      </c>
      <c r="G3" s="53" t="s">
        <v>199</v>
      </c>
      <c r="H3" s="53" t="s">
        <v>200</v>
      </c>
      <c r="I3" s="144" t="s">
        <v>378</v>
      </c>
      <c r="J3" s="144" t="s">
        <v>379</v>
      </c>
      <c r="K3" s="144" t="s">
        <v>380</v>
      </c>
      <c r="L3" s="145" t="s">
        <v>201</v>
      </c>
      <c r="M3" s="146" t="s">
        <v>202</v>
      </c>
    </row>
    <row r="4" spans="1:394" s="19" customFormat="1" ht="14.5">
      <c r="A4" s="273"/>
      <c r="B4" s="284" t="s">
        <v>203</v>
      </c>
      <c r="C4" s="56" t="s">
        <v>175</v>
      </c>
      <c r="D4" s="57" t="s">
        <v>204</v>
      </c>
      <c r="E4" s="58"/>
      <c r="F4" s="59">
        <v>1</v>
      </c>
      <c r="G4" s="60">
        <v>2.9999999999999997E-4</v>
      </c>
      <c r="H4" s="61">
        <f>ROUND(E4*F4*G4,2)</f>
        <v>0</v>
      </c>
      <c r="I4" s="147">
        <f>'10月PL'!D5</f>
        <v>0</v>
      </c>
      <c r="J4" s="58">
        <f>'10月PL'!D36</f>
        <v>0</v>
      </c>
      <c r="K4" s="58">
        <f>'10月PL'!D67</f>
        <v>0</v>
      </c>
      <c r="L4" s="148"/>
      <c r="M4" s="149" t="s">
        <v>205</v>
      </c>
    </row>
    <row r="5" spans="1:394" s="19" customFormat="1" ht="14.5">
      <c r="A5" s="273"/>
      <c r="B5" s="285"/>
      <c r="C5" s="62" t="s">
        <v>206</v>
      </c>
      <c r="D5" s="295" t="s">
        <v>207</v>
      </c>
      <c r="E5" s="58"/>
      <c r="F5" s="59">
        <v>1</v>
      </c>
      <c r="G5" s="63">
        <v>5.0000000000000001E-4</v>
      </c>
      <c r="H5" s="61">
        <f>ROUND(E5*F5*G5,2)</f>
        <v>0</v>
      </c>
      <c r="I5" s="150"/>
      <c r="J5" s="58"/>
      <c r="K5" s="58"/>
      <c r="L5" s="148"/>
      <c r="M5" s="149" t="s">
        <v>208</v>
      </c>
    </row>
    <row r="6" spans="1:394" s="19" customFormat="1" ht="14.5">
      <c r="A6" s="273"/>
      <c r="B6" s="285"/>
      <c r="C6" s="64" t="s">
        <v>173</v>
      </c>
      <c r="D6" s="296"/>
      <c r="E6" s="58"/>
      <c r="F6" s="59">
        <v>1</v>
      </c>
      <c r="G6" s="63">
        <v>5.0000000000000002E-5</v>
      </c>
      <c r="H6" s="61">
        <f t="shared" ref="H6:H15" si="0">ROUND(E6*F6*G6,2)</f>
        <v>0</v>
      </c>
      <c r="I6" s="150"/>
      <c r="J6" s="58"/>
      <c r="K6" s="58"/>
      <c r="L6" s="148"/>
      <c r="M6" s="149" t="s">
        <v>208</v>
      </c>
    </row>
    <row r="7" spans="1:394" s="19" customFormat="1" ht="14.5">
      <c r="A7" s="273"/>
      <c r="B7" s="285"/>
      <c r="C7" s="64" t="s">
        <v>209</v>
      </c>
      <c r="D7" s="296"/>
      <c r="E7" s="58"/>
      <c r="F7" s="59">
        <v>1</v>
      </c>
      <c r="G7" s="63">
        <v>2.9999999999999997E-4</v>
      </c>
      <c r="H7" s="61">
        <f t="shared" si="0"/>
        <v>0</v>
      </c>
      <c r="I7" s="150"/>
      <c r="J7" s="58"/>
      <c r="K7" s="58"/>
      <c r="L7" s="148"/>
      <c r="M7" s="149" t="s">
        <v>208</v>
      </c>
    </row>
    <row r="8" spans="1:394" s="19" customFormat="1" ht="14.5">
      <c r="A8" s="273"/>
      <c r="B8" s="285"/>
      <c r="C8" s="64" t="s">
        <v>210</v>
      </c>
      <c r="D8" s="296"/>
      <c r="E8" s="58"/>
      <c r="F8" s="59">
        <v>1</v>
      </c>
      <c r="G8" s="63">
        <v>2.9999999999999997E-4</v>
      </c>
      <c r="H8" s="61">
        <f t="shared" si="0"/>
        <v>0</v>
      </c>
      <c r="I8" s="150"/>
      <c r="J8" s="58"/>
      <c r="K8" s="58"/>
      <c r="L8" s="148"/>
      <c r="M8" s="149" t="s">
        <v>208</v>
      </c>
    </row>
    <row r="9" spans="1:394" s="19" customFormat="1" ht="14.5">
      <c r="A9" s="273"/>
      <c r="B9" s="285"/>
      <c r="C9" s="64" t="s">
        <v>211</v>
      </c>
      <c r="D9" s="296"/>
      <c r="E9" s="58"/>
      <c r="F9" s="59">
        <v>1</v>
      </c>
      <c r="G9" s="63">
        <v>2.9999999999999997E-4</v>
      </c>
      <c r="H9" s="61">
        <f t="shared" si="0"/>
        <v>0</v>
      </c>
      <c r="I9" s="150"/>
      <c r="J9" s="58"/>
      <c r="K9" s="58"/>
      <c r="L9" s="148"/>
      <c r="M9" s="149" t="s">
        <v>208</v>
      </c>
    </row>
    <row r="10" spans="1:394" s="19" customFormat="1" ht="14.5">
      <c r="A10" s="273"/>
      <c r="B10" s="285"/>
      <c r="C10" s="64" t="s">
        <v>212</v>
      </c>
      <c r="D10" s="296"/>
      <c r="E10" s="58"/>
      <c r="F10" s="59">
        <v>1</v>
      </c>
      <c r="G10" s="63">
        <v>2.9999999999999997E-4</v>
      </c>
      <c r="H10" s="61">
        <f t="shared" si="0"/>
        <v>0</v>
      </c>
      <c r="I10" s="150"/>
      <c r="J10" s="58"/>
      <c r="K10" s="58"/>
      <c r="L10" s="148"/>
      <c r="M10" s="149" t="s">
        <v>208</v>
      </c>
    </row>
    <row r="11" spans="1:394" s="19" customFormat="1" ht="14.5">
      <c r="A11" s="273"/>
      <c r="B11" s="285"/>
      <c r="C11" s="64" t="s">
        <v>213</v>
      </c>
      <c r="D11" s="296"/>
      <c r="E11" s="58"/>
      <c r="F11" s="59">
        <v>1</v>
      </c>
      <c r="G11" s="63">
        <v>1E-3</v>
      </c>
      <c r="H11" s="61">
        <f t="shared" si="0"/>
        <v>0</v>
      </c>
      <c r="I11" s="150"/>
      <c r="J11" s="58"/>
      <c r="K11" s="58"/>
      <c r="L11" s="148"/>
      <c r="M11" s="149" t="s">
        <v>208</v>
      </c>
    </row>
    <row r="12" spans="1:394" s="19" customFormat="1" ht="14.5">
      <c r="A12" s="273"/>
      <c r="B12" s="285"/>
      <c r="C12" s="62" t="s">
        <v>214</v>
      </c>
      <c r="D12" s="296"/>
      <c r="E12" s="58"/>
      <c r="F12" s="59">
        <v>1</v>
      </c>
      <c r="G12" s="63">
        <v>1E-3</v>
      </c>
      <c r="H12" s="61">
        <f t="shared" si="0"/>
        <v>0</v>
      </c>
      <c r="I12" s="150"/>
      <c r="J12" s="58"/>
      <c r="K12" s="58"/>
      <c r="L12" s="148"/>
      <c r="M12" s="149" t="s">
        <v>208</v>
      </c>
    </row>
    <row r="13" spans="1:394" s="19" customFormat="1" ht="14.5">
      <c r="A13" s="273"/>
      <c r="B13" s="285"/>
      <c r="C13" s="62" t="s">
        <v>182</v>
      </c>
      <c r="D13" s="296"/>
      <c r="E13" s="58"/>
      <c r="F13" s="59">
        <v>1</v>
      </c>
      <c r="G13" s="63">
        <v>1E-3</v>
      </c>
      <c r="H13" s="61">
        <f t="shared" si="0"/>
        <v>0</v>
      </c>
      <c r="I13" s="150"/>
      <c r="J13" s="58"/>
      <c r="K13" s="58"/>
      <c r="L13" s="148"/>
      <c r="M13" s="149" t="s">
        <v>208</v>
      </c>
    </row>
    <row r="14" spans="1:394" s="19" customFormat="1" ht="14.5">
      <c r="A14" s="273"/>
      <c r="B14" s="285"/>
      <c r="C14" s="62" t="s">
        <v>183</v>
      </c>
      <c r="D14" s="296"/>
      <c r="E14" s="58"/>
      <c r="F14" s="59">
        <v>1</v>
      </c>
      <c r="G14" s="63">
        <v>1E-3</v>
      </c>
      <c r="H14" s="61">
        <f t="shared" si="0"/>
        <v>0</v>
      </c>
      <c r="I14" s="150"/>
      <c r="J14" s="58"/>
      <c r="K14" s="58"/>
      <c r="L14" s="148"/>
      <c r="M14" s="149" t="s">
        <v>208</v>
      </c>
    </row>
    <row r="15" spans="1:394" s="19" customFormat="1" ht="14.5">
      <c r="A15" s="274"/>
      <c r="B15" s="285"/>
      <c r="C15" s="64" t="s">
        <v>215</v>
      </c>
      <c r="D15" s="297"/>
      <c r="E15" s="58"/>
      <c r="F15" s="59">
        <v>1</v>
      </c>
      <c r="G15" s="63">
        <v>2.5000000000000001E-4</v>
      </c>
      <c r="H15" s="61">
        <f t="shared" si="0"/>
        <v>0</v>
      </c>
      <c r="I15" s="150"/>
      <c r="J15" s="58"/>
      <c r="K15" s="58"/>
      <c r="L15" s="148"/>
      <c r="M15" s="149" t="s">
        <v>208</v>
      </c>
    </row>
    <row r="16" spans="1:394" s="44" customFormat="1" ht="29" customHeight="1">
      <c r="A16" s="65">
        <v>1</v>
      </c>
      <c r="B16" s="66" t="s">
        <v>216</v>
      </c>
      <c r="C16" s="66"/>
      <c r="D16" s="67"/>
      <c r="E16" s="68">
        <f>SUM(E4:E15)</f>
        <v>0</v>
      </c>
      <c r="F16" s="66"/>
      <c r="G16" s="69"/>
      <c r="H16" s="68">
        <f>SUM(H4:H15)*50%</f>
        <v>0</v>
      </c>
      <c r="I16" s="151" t="s">
        <v>217</v>
      </c>
      <c r="J16" s="68"/>
      <c r="K16" s="68">
        <f>H16-J16</f>
        <v>0</v>
      </c>
      <c r="L16" s="152"/>
      <c r="M16" s="153"/>
      <c r="N16" s="154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</row>
    <row r="17" spans="1:394" s="44" customFormat="1" ht="36" customHeight="1">
      <c r="A17" s="52" t="s">
        <v>218</v>
      </c>
      <c r="B17" s="53" t="s">
        <v>219</v>
      </c>
      <c r="C17" s="53" t="s">
        <v>220</v>
      </c>
      <c r="D17" s="54" t="s">
        <v>221</v>
      </c>
      <c r="E17" s="55" t="s">
        <v>222</v>
      </c>
      <c r="F17" s="53" t="s">
        <v>223</v>
      </c>
      <c r="G17" s="53" t="s">
        <v>224</v>
      </c>
      <c r="H17" s="53" t="s">
        <v>225</v>
      </c>
      <c r="I17" s="144" t="s">
        <v>226</v>
      </c>
      <c r="J17" s="155" t="s">
        <v>227</v>
      </c>
      <c r="K17" s="155" t="s">
        <v>228</v>
      </c>
      <c r="L17" s="145" t="s">
        <v>229</v>
      </c>
      <c r="M17" s="146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</row>
    <row r="18" spans="1:394" s="19" customFormat="1" ht="16.5">
      <c r="A18" s="275"/>
      <c r="B18" s="286" t="s">
        <v>230</v>
      </c>
      <c r="C18" s="70" t="s">
        <v>231</v>
      </c>
      <c r="D18" s="71" t="s">
        <v>91</v>
      </c>
      <c r="E18" s="72">
        <f>'10月PL'!D36</f>
        <v>0</v>
      </c>
      <c r="F18" s="73">
        <v>1</v>
      </c>
      <c r="G18" s="73">
        <v>0.13</v>
      </c>
      <c r="H18" s="74">
        <f>E18*G18</f>
        <v>0</v>
      </c>
      <c r="I18" s="156" t="s">
        <v>232</v>
      </c>
      <c r="J18" s="74">
        <f>销项明细!E3</f>
        <v>0</v>
      </c>
      <c r="K18" s="74">
        <f>H18-J18</f>
        <v>0</v>
      </c>
      <c r="L18" s="157"/>
      <c r="M18" s="158" t="s">
        <v>205</v>
      </c>
    </row>
    <row r="19" spans="1:394" s="19" customFormat="1" ht="16.5">
      <c r="A19" s="276"/>
      <c r="B19" s="287"/>
      <c r="C19" s="71" t="s">
        <v>233</v>
      </c>
      <c r="D19" s="71" t="s">
        <v>234</v>
      </c>
      <c r="E19" s="72">
        <f>'Ref 4_202510 增值税变动表'!F3</f>
        <v>0</v>
      </c>
      <c r="F19" s="73">
        <v>1</v>
      </c>
      <c r="G19" s="73">
        <v>0.02</v>
      </c>
      <c r="H19" s="74">
        <f>E19*G19</f>
        <v>0</v>
      </c>
      <c r="I19" s="159"/>
      <c r="J19" s="74"/>
      <c r="K19" s="74"/>
      <c r="L19" s="157"/>
      <c r="M19" s="160"/>
    </row>
    <row r="20" spans="1:394" s="19" customFormat="1" ht="16.5">
      <c r="A20" s="276"/>
      <c r="B20" s="287"/>
      <c r="C20" s="71" t="s">
        <v>235</v>
      </c>
      <c r="D20" s="71" t="s">
        <v>236</v>
      </c>
      <c r="E20" s="72">
        <f>'Ref 4_202510 增值税变动表'!F4</f>
        <v>0</v>
      </c>
      <c r="F20" s="73">
        <v>1</v>
      </c>
      <c r="G20" s="73">
        <v>0.06</v>
      </c>
      <c r="H20" s="74">
        <f t="shared" ref="H20:H21" si="1">E20*G20</f>
        <v>0</v>
      </c>
      <c r="I20" s="159"/>
      <c r="J20" s="74"/>
      <c r="K20" s="74"/>
      <c r="L20" s="157"/>
      <c r="M20" s="160"/>
    </row>
    <row r="21" spans="1:394" s="19" customFormat="1" ht="16.5">
      <c r="A21" s="276"/>
      <c r="B21" s="287"/>
      <c r="C21" s="71" t="s">
        <v>237</v>
      </c>
      <c r="D21" s="71" t="s">
        <v>238</v>
      </c>
      <c r="E21" s="72">
        <f>'Ref 4_202510 增值税变动表'!F5</f>
        <v>0</v>
      </c>
      <c r="F21" s="73">
        <v>1</v>
      </c>
      <c r="G21" s="73">
        <v>0.06</v>
      </c>
      <c r="H21" s="74">
        <f t="shared" si="1"/>
        <v>0</v>
      </c>
      <c r="I21" s="159"/>
      <c r="J21" s="74"/>
      <c r="K21" s="74"/>
      <c r="L21" s="157"/>
      <c r="M21" s="160"/>
    </row>
    <row r="22" spans="1:394" s="19" customFormat="1" ht="16.5">
      <c r="A22" s="276"/>
      <c r="B22" s="287"/>
      <c r="C22" s="75" t="s">
        <v>239</v>
      </c>
      <c r="D22" s="76" t="s">
        <v>240</v>
      </c>
      <c r="E22" s="61">
        <f>'Ref 3_202510增值税进项认证清单'!K20</f>
        <v>28927575.879999999</v>
      </c>
      <c r="F22" s="77">
        <v>1</v>
      </c>
      <c r="G22" s="78" t="s">
        <v>241</v>
      </c>
      <c r="H22" s="79">
        <f>'Ref 3_202510增值税进项认证清单'!M20</f>
        <v>1762386.67</v>
      </c>
      <c r="I22" s="161" t="s">
        <v>144</v>
      </c>
      <c r="J22" s="61">
        <f>进项明细!K21</f>
        <v>1768366.1</v>
      </c>
      <c r="K22" s="74">
        <f>H22-J22</f>
        <v>-5979.4300000001676</v>
      </c>
      <c r="L22" s="162" t="s">
        <v>474</v>
      </c>
      <c r="M22" s="158" t="s">
        <v>242</v>
      </c>
      <c r="R22" s="196">
        <v>0.09</v>
      </c>
    </row>
    <row r="23" spans="1:394" s="19" customFormat="1" ht="14.5">
      <c r="A23" s="276"/>
      <c r="B23" s="287"/>
      <c r="C23" s="80" t="s">
        <v>243</v>
      </c>
      <c r="D23" s="76" t="s">
        <v>244</v>
      </c>
      <c r="E23" s="61"/>
      <c r="F23" s="77">
        <v>1</v>
      </c>
      <c r="G23" s="78"/>
      <c r="H23" s="79">
        <f>'Ref 4_202510 增值税变动表'!F11</f>
        <v>1538561.49</v>
      </c>
      <c r="I23" s="161"/>
      <c r="J23" s="61"/>
      <c r="K23" s="61"/>
      <c r="L23" s="163"/>
      <c r="M23" s="158" t="s">
        <v>245</v>
      </c>
      <c r="R23" s="196"/>
    </row>
    <row r="24" spans="1:394" ht="16.5">
      <c r="A24" s="277"/>
      <c r="B24" s="288"/>
      <c r="C24" s="75" t="s">
        <v>246</v>
      </c>
      <c r="D24" s="76" t="s">
        <v>244</v>
      </c>
      <c r="E24" s="61"/>
      <c r="F24" s="77">
        <v>1</v>
      </c>
      <c r="G24" s="78" t="s">
        <v>241</v>
      </c>
      <c r="H24" s="79">
        <f>'Ref 4_202510 增值税变动表'!F12</f>
        <v>2354342.52</v>
      </c>
      <c r="I24" s="164"/>
      <c r="J24" s="79">
        <f>'10月BS'!K145</f>
        <v>2360321.9500000002</v>
      </c>
      <c r="K24" s="79">
        <f>H24-J24</f>
        <v>-5979.4300000001676</v>
      </c>
      <c r="L24" s="162"/>
      <c r="M24" s="158" t="s">
        <v>245</v>
      </c>
    </row>
    <row r="25" spans="1:394" s="46" customFormat="1" ht="30.75" customHeight="1">
      <c r="A25" s="81">
        <v>2</v>
      </c>
      <c r="B25" s="82" t="s">
        <v>247</v>
      </c>
      <c r="C25" s="82"/>
      <c r="D25" s="83"/>
      <c r="E25" s="84"/>
      <c r="F25" s="82"/>
      <c r="G25" s="85"/>
      <c r="H25" s="84"/>
      <c r="I25" s="165" t="s">
        <v>248</v>
      </c>
      <c r="J25" s="84"/>
      <c r="K25" s="84"/>
      <c r="L25" s="166"/>
      <c r="M25" s="167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168"/>
      <c r="DH25" s="168"/>
      <c r="DI25" s="168"/>
      <c r="DJ25" s="168"/>
      <c r="DK25" s="168"/>
      <c r="DL25" s="168"/>
      <c r="DM25" s="168"/>
      <c r="DN25" s="168"/>
      <c r="DO25" s="168"/>
      <c r="DP25" s="168"/>
      <c r="DQ25" s="168"/>
      <c r="DR25" s="168"/>
      <c r="DS25" s="168"/>
      <c r="DT25" s="168"/>
      <c r="DU25" s="168"/>
      <c r="DV25" s="168"/>
      <c r="DW25" s="168"/>
      <c r="DX25" s="168"/>
      <c r="DY25" s="168"/>
      <c r="DZ25" s="168"/>
      <c r="EA25" s="168"/>
      <c r="EB25" s="168"/>
      <c r="EC25" s="168"/>
      <c r="ED25" s="168"/>
      <c r="EE25" s="168"/>
      <c r="EF25" s="168"/>
      <c r="EG25" s="168"/>
      <c r="EH25" s="168"/>
      <c r="EI25" s="168"/>
      <c r="EJ25" s="168"/>
      <c r="EK25" s="168"/>
      <c r="EL25" s="168"/>
      <c r="EM25" s="168"/>
      <c r="EN25" s="168"/>
      <c r="EO25" s="168"/>
      <c r="EP25" s="168"/>
      <c r="EQ25" s="168"/>
      <c r="ER25" s="168"/>
      <c r="ES25" s="168"/>
      <c r="ET25" s="168"/>
      <c r="EU25" s="168"/>
      <c r="EV25" s="168"/>
      <c r="EW25" s="168"/>
      <c r="EX25" s="168"/>
      <c r="EY25" s="168"/>
      <c r="EZ25" s="168"/>
      <c r="FA25" s="168"/>
      <c r="FB25" s="168"/>
      <c r="FC25" s="168"/>
      <c r="FD25" s="168"/>
      <c r="FE25" s="168"/>
      <c r="FF25" s="168"/>
      <c r="FG25" s="168"/>
      <c r="FH25" s="168"/>
      <c r="FI25" s="168"/>
      <c r="FJ25" s="168"/>
      <c r="FK25" s="168"/>
      <c r="FL25" s="168"/>
      <c r="FM25" s="168"/>
      <c r="FN25" s="168"/>
      <c r="FO25" s="168"/>
      <c r="FP25" s="168"/>
      <c r="FQ25" s="168"/>
      <c r="FR25" s="168"/>
      <c r="FS25" s="168"/>
      <c r="FT25" s="168"/>
      <c r="FU25" s="168"/>
      <c r="FV25" s="168"/>
      <c r="FW25" s="168"/>
      <c r="FX25" s="168"/>
      <c r="FY25" s="168"/>
      <c r="FZ25" s="168"/>
      <c r="GA25" s="168"/>
      <c r="GB25" s="168"/>
      <c r="GC25" s="168"/>
      <c r="GD25" s="168"/>
      <c r="GE25" s="168"/>
      <c r="GF25" s="168"/>
      <c r="GG25" s="168"/>
      <c r="GH25" s="168"/>
      <c r="GI25" s="168"/>
      <c r="GJ25" s="168"/>
      <c r="GK25" s="168"/>
      <c r="GL25" s="168"/>
      <c r="GM25" s="168"/>
      <c r="GN25" s="168"/>
      <c r="GO25" s="168"/>
      <c r="GP25" s="168"/>
      <c r="GQ25" s="168"/>
      <c r="GR25" s="168"/>
      <c r="GS25" s="168"/>
      <c r="GT25" s="168"/>
      <c r="GU25" s="168"/>
      <c r="GV25" s="168"/>
      <c r="GW25" s="168"/>
      <c r="GX25" s="168"/>
      <c r="GY25" s="168"/>
      <c r="GZ25" s="168"/>
      <c r="HA25" s="168"/>
      <c r="HB25" s="168"/>
      <c r="HC25" s="168"/>
      <c r="HD25" s="168"/>
      <c r="HE25" s="168"/>
      <c r="HF25" s="168"/>
      <c r="HG25" s="168"/>
      <c r="HH25" s="168"/>
      <c r="HI25" s="168"/>
      <c r="HJ25" s="168"/>
      <c r="HK25" s="168"/>
      <c r="HL25" s="168"/>
      <c r="HM25" s="168"/>
      <c r="HN25" s="168"/>
      <c r="HO25" s="168"/>
      <c r="HP25" s="168"/>
      <c r="HQ25" s="168"/>
      <c r="HR25" s="168"/>
      <c r="HS25" s="168"/>
      <c r="HT25" s="168"/>
      <c r="HU25" s="168"/>
      <c r="HV25" s="168"/>
      <c r="HW25" s="168"/>
      <c r="HX25" s="168"/>
      <c r="HY25" s="168"/>
      <c r="HZ25" s="168"/>
      <c r="IA25" s="168"/>
      <c r="IB25" s="168"/>
      <c r="IC25" s="168"/>
      <c r="ID25" s="168"/>
      <c r="IE25" s="168"/>
      <c r="IF25" s="168"/>
      <c r="IG25" s="168"/>
      <c r="IH25" s="168"/>
      <c r="II25" s="168"/>
      <c r="IJ25" s="168"/>
      <c r="IK25" s="168"/>
      <c r="IL25" s="168"/>
      <c r="IM25" s="168"/>
      <c r="IN25" s="168"/>
      <c r="IO25" s="168"/>
      <c r="IP25" s="168"/>
      <c r="IQ25" s="168"/>
      <c r="IR25" s="168"/>
      <c r="IS25" s="168"/>
      <c r="IT25" s="168"/>
      <c r="IU25" s="168"/>
      <c r="IV25" s="168"/>
      <c r="IW25" s="168"/>
      <c r="IX25" s="168"/>
      <c r="IY25" s="168"/>
      <c r="IZ25" s="168"/>
      <c r="JA25" s="168"/>
      <c r="JB25" s="168"/>
      <c r="JC25" s="168"/>
      <c r="JD25" s="168"/>
      <c r="JE25" s="168"/>
      <c r="JF25" s="168"/>
      <c r="JG25" s="168"/>
      <c r="JH25" s="168"/>
      <c r="JI25" s="168"/>
      <c r="JJ25" s="168"/>
      <c r="JK25" s="168"/>
      <c r="JL25" s="168"/>
      <c r="JM25" s="168"/>
      <c r="JN25" s="168"/>
      <c r="JO25" s="168"/>
      <c r="JP25" s="168"/>
      <c r="JQ25" s="168"/>
      <c r="JR25" s="168"/>
      <c r="JS25" s="168"/>
      <c r="JT25" s="168"/>
      <c r="JU25" s="168"/>
      <c r="JV25" s="168"/>
      <c r="JW25" s="168"/>
      <c r="JX25" s="168"/>
      <c r="JY25" s="168"/>
      <c r="JZ25" s="168"/>
      <c r="KA25" s="168"/>
      <c r="KB25" s="168"/>
      <c r="KC25" s="168"/>
      <c r="KD25" s="168"/>
      <c r="KE25" s="168"/>
      <c r="KF25" s="168"/>
      <c r="KG25" s="168"/>
      <c r="KH25" s="168"/>
      <c r="KI25" s="168"/>
      <c r="KJ25" s="168"/>
      <c r="KK25" s="168"/>
      <c r="KL25" s="168"/>
      <c r="KM25" s="168"/>
      <c r="KN25" s="168"/>
      <c r="KO25" s="168"/>
      <c r="KP25" s="168"/>
      <c r="KQ25" s="168"/>
      <c r="KR25" s="168"/>
      <c r="KS25" s="168"/>
      <c r="KT25" s="168"/>
      <c r="KU25" s="168"/>
      <c r="KV25" s="168"/>
      <c r="KW25" s="168"/>
      <c r="KX25" s="168"/>
      <c r="KY25" s="168"/>
      <c r="KZ25" s="168"/>
      <c r="LA25" s="168"/>
      <c r="LB25" s="168"/>
      <c r="LC25" s="168"/>
      <c r="LD25" s="168"/>
      <c r="LE25" s="168"/>
      <c r="LF25" s="168"/>
      <c r="LG25" s="168"/>
      <c r="LH25" s="168"/>
      <c r="LI25" s="168"/>
      <c r="LJ25" s="168"/>
      <c r="LK25" s="168"/>
      <c r="LL25" s="168"/>
      <c r="LM25" s="168"/>
      <c r="LN25" s="168"/>
      <c r="LO25" s="168"/>
      <c r="LP25" s="168"/>
      <c r="LQ25" s="168"/>
      <c r="LR25" s="168"/>
      <c r="LS25" s="168"/>
      <c r="LT25" s="168"/>
      <c r="LU25" s="168"/>
      <c r="LV25" s="168"/>
      <c r="LW25" s="168"/>
      <c r="LX25" s="168"/>
      <c r="LY25" s="168"/>
      <c r="LZ25" s="168"/>
      <c r="MA25" s="168"/>
      <c r="MB25" s="168"/>
      <c r="MC25" s="168"/>
      <c r="MD25" s="168"/>
      <c r="ME25" s="168"/>
      <c r="MF25" s="168"/>
      <c r="MG25" s="168"/>
      <c r="MH25" s="168"/>
      <c r="MI25" s="168"/>
      <c r="MJ25" s="168"/>
      <c r="MK25" s="168"/>
      <c r="ML25" s="168"/>
      <c r="MM25" s="168"/>
      <c r="MN25" s="168"/>
      <c r="MO25" s="168"/>
      <c r="MP25" s="168"/>
      <c r="MQ25" s="168"/>
      <c r="MR25" s="168"/>
      <c r="MS25" s="168"/>
      <c r="MT25" s="168"/>
      <c r="MU25" s="168"/>
      <c r="MV25" s="168"/>
      <c r="MW25" s="168"/>
      <c r="MX25" s="168"/>
      <c r="MY25" s="168"/>
      <c r="MZ25" s="168"/>
      <c r="NA25" s="168"/>
      <c r="NB25" s="168"/>
      <c r="NC25" s="168"/>
      <c r="ND25" s="168"/>
      <c r="NE25" s="168"/>
      <c r="NF25" s="168"/>
      <c r="NG25" s="168"/>
      <c r="NH25" s="168"/>
      <c r="NI25" s="168"/>
      <c r="NJ25" s="168"/>
      <c r="NK25" s="168"/>
      <c r="NL25" s="168"/>
      <c r="NM25" s="168"/>
      <c r="NN25" s="168"/>
      <c r="NO25" s="168"/>
      <c r="NP25" s="168"/>
      <c r="NQ25" s="168"/>
      <c r="NR25" s="168"/>
      <c r="NS25" s="168"/>
      <c r="NT25" s="168"/>
      <c r="NU25" s="168"/>
      <c r="NV25" s="168"/>
      <c r="NW25" s="168"/>
      <c r="NX25" s="168"/>
      <c r="NY25" s="168"/>
      <c r="NZ25" s="168"/>
      <c r="OA25" s="168"/>
      <c r="OB25" s="168"/>
      <c r="OC25" s="168"/>
      <c r="OD25" s="168"/>
    </row>
    <row r="26" spans="1:394" s="19" customFormat="1" ht="20" customHeight="1">
      <c r="A26" s="278"/>
      <c r="B26" s="289" t="s">
        <v>249</v>
      </c>
      <c r="C26" s="86" t="s">
        <v>250</v>
      </c>
      <c r="D26" s="86" t="s">
        <v>251</v>
      </c>
      <c r="E26" s="87" t="s">
        <v>252</v>
      </c>
      <c r="F26" s="88" t="s">
        <v>253</v>
      </c>
      <c r="G26" s="89" t="s">
        <v>254</v>
      </c>
      <c r="H26" s="87" t="s">
        <v>476</v>
      </c>
      <c r="I26" s="87" t="s">
        <v>475</v>
      </c>
      <c r="J26" s="87" t="s">
        <v>255</v>
      </c>
      <c r="K26" s="87" t="s">
        <v>256</v>
      </c>
      <c r="L26" s="169"/>
      <c r="M26" s="170"/>
    </row>
    <row r="27" spans="1:394" s="19" customFormat="1" ht="20" customHeight="1">
      <c r="A27" s="279"/>
      <c r="B27" s="290"/>
      <c r="C27" s="90"/>
      <c r="D27" s="90"/>
      <c r="E27" s="91">
        <f>'10月PL'!E121</f>
        <v>0</v>
      </c>
      <c r="F27" s="92">
        <f>25%*20%</f>
        <v>0.05</v>
      </c>
      <c r="G27" s="93">
        <v>0</v>
      </c>
      <c r="H27" s="91">
        <f>G27</f>
        <v>0</v>
      </c>
      <c r="I27" s="171" t="s">
        <v>477</v>
      </c>
      <c r="J27" s="87">
        <v>0</v>
      </c>
      <c r="K27" s="87">
        <v>0</v>
      </c>
      <c r="L27" s="169"/>
      <c r="M27" s="170"/>
    </row>
    <row r="28" spans="1:394" s="19" customFormat="1" ht="20" customHeight="1">
      <c r="A28" s="94">
        <v>3</v>
      </c>
      <c r="B28" s="95" t="s">
        <v>257</v>
      </c>
      <c r="C28" s="95"/>
      <c r="D28" s="95"/>
      <c r="E28" s="96">
        <f>SUM(E27)</f>
        <v>0</v>
      </c>
      <c r="F28" s="97"/>
      <c r="G28" s="98">
        <f>SUM(G27)</f>
        <v>0</v>
      </c>
      <c r="H28" s="96">
        <f>SUM(H27)</f>
        <v>0</v>
      </c>
      <c r="I28" s="256" t="s">
        <v>258</v>
      </c>
      <c r="J28" s="96"/>
      <c r="K28" s="96"/>
      <c r="L28" s="172"/>
      <c r="M28" s="170"/>
    </row>
    <row r="29" spans="1:394" s="46" customFormat="1" ht="27.75" customHeight="1">
      <c r="A29" s="99">
        <v>4</v>
      </c>
      <c r="B29" s="100" t="s">
        <v>259</v>
      </c>
      <c r="C29" s="101" t="s">
        <v>260</v>
      </c>
      <c r="D29" s="100" t="s">
        <v>261</v>
      </c>
      <c r="E29" s="102"/>
      <c r="F29" s="103"/>
      <c r="G29" s="104"/>
      <c r="H29" s="102">
        <f>(ROUND(E29*G29/12*1*50%,2))</f>
        <v>0</v>
      </c>
      <c r="I29" s="173" t="s">
        <v>262</v>
      </c>
      <c r="J29" s="174"/>
      <c r="K29" s="102">
        <f>H29-J29</f>
        <v>0</v>
      </c>
      <c r="L29" s="175"/>
      <c r="M29" s="170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168"/>
      <c r="DH29" s="168"/>
      <c r="DI29" s="168"/>
      <c r="DJ29" s="168"/>
      <c r="DK29" s="168"/>
      <c r="DL29" s="168"/>
      <c r="DM29" s="168"/>
      <c r="DN29" s="168"/>
      <c r="DO29" s="168"/>
      <c r="DP29" s="168"/>
      <c r="DQ29" s="168"/>
      <c r="DR29" s="168"/>
      <c r="DS29" s="168"/>
      <c r="DT29" s="168"/>
      <c r="DU29" s="168"/>
      <c r="DV29" s="168"/>
      <c r="DW29" s="168"/>
      <c r="DX29" s="168"/>
      <c r="DY29" s="168"/>
      <c r="DZ29" s="168"/>
      <c r="EA29" s="168"/>
      <c r="EB29" s="168"/>
      <c r="EC29" s="168"/>
      <c r="ED29" s="168"/>
      <c r="EE29" s="168"/>
      <c r="EF29" s="168"/>
      <c r="EG29" s="168"/>
      <c r="EH29" s="168"/>
      <c r="EI29" s="168"/>
      <c r="EJ29" s="168"/>
      <c r="EK29" s="168"/>
      <c r="EL29" s="168"/>
      <c r="EM29" s="168"/>
      <c r="EN29" s="168"/>
      <c r="EO29" s="168"/>
      <c r="EP29" s="168"/>
      <c r="EQ29" s="168"/>
      <c r="ER29" s="168"/>
      <c r="ES29" s="168"/>
      <c r="ET29" s="168"/>
      <c r="EU29" s="168"/>
      <c r="EV29" s="168"/>
      <c r="EW29" s="168"/>
      <c r="EX29" s="168"/>
      <c r="EY29" s="168"/>
      <c r="EZ29" s="168"/>
      <c r="FA29" s="168"/>
      <c r="FB29" s="168"/>
      <c r="FC29" s="168"/>
      <c r="FD29" s="168"/>
      <c r="FE29" s="168"/>
      <c r="FF29" s="168"/>
      <c r="FG29" s="168"/>
      <c r="FH29" s="168"/>
      <c r="FI29" s="168"/>
      <c r="FJ29" s="168"/>
      <c r="FK29" s="168"/>
      <c r="FL29" s="168"/>
      <c r="FM29" s="168"/>
      <c r="FN29" s="168"/>
      <c r="FO29" s="168"/>
      <c r="FP29" s="168"/>
      <c r="FQ29" s="168"/>
      <c r="FR29" s="168"/>
      <c r="FS29" s="168"/>
      <c r="FT29" s="168"/>
      <c r="FU29" s="168"/>
      <c r="FV29" s="168"/>
      <c r="FW29" s="168"/>
      <c r="FX29" s="168"/>
      <c r="FY29" s="168"/>
      <c r="FZ29" s="168"/>
      <c r="GA29" s="168"/>
      <c r="GB29" s="168"/>
      <c r="GC29" s="168"/>
      <c r="GD29" s="168"/>
      <c r="GE29" s="168"/>
      <c r="GF29" s="168"/>
      <c r="GG29" s="168"/>
      <c r="GH29" s="168"/>
      <c r="GI29" s="168"/>
      <c r="GJ29" s="168"/>
      <c r="GK29" s="168"/>
      <c r="GL29" s="168"/>
      <c r="GM29" s="168"/>
      <c r="GN29" s="168"/>
      <c r="GO29" s="168"/>
      <c r="GP29" s="168"/>
      <c r="GQ29" s="168"/>
      <c r="GR29" s="168"/>
      <c r="GS29" s="168"/>
      <c r="GT29" s="168"/>
      <c r="GU29" s="168"/>
      <c r="GV29" s="168"/>
      <c r="GW29" s="168"/>
      <c r="GX29" s="168"/>
      <c r="GY29" s="168"/>
      <c r="GZ29" s="168"/>
      <c r="HA29" s="168"/>
      <c r="HB29" s="168"/>
      <c r="HC29" s="168"/>
      <c r="HD29" s="168"/>
      <c r="HE29" s="168"/>
      <c r="HF29" s="168"/>
      <c r="HG29" s="168"/>
      <c r="HH29" s="168"/>
      <c r="HI29" s="168"/>
      <c r="HJ29" s="168"/>
      <c r="HK29" s="168"/>
      <c r="HL29" s="168"/>
      <c r="HM29" s="168"/>
      <c r="HN29" s="168"/>
      <c r="HO29" s="168"/>
      <c r="HP29" s="168"/>
      <c r="HQ29" s="168"/>
      <c r="HR29" s="168"/>
      <c r="HS29" s="168"/>
      <c r="HT29" s="168"/>
      <c r="HU29" s="168"/>
      <c r="HV29" s="168"/>
      <c r="HW29" s="168"/>
      <c r="HX29" s="168"/>
      <c r="HY29" s="168"/>
      <c r="HZ29" s="168"/>
      <c r="IA29" s="168"/>
      <c r="IB29" s="168"/>
      <c r="IC29" s="168"/>
      <c r="ID29" s="168"/>
      <c r="IE29" s="168"/>
      <c r="IF29" s="168"/>
      <c r="IG29" s="168"/>
      <c r="IH29" s="168"/>
      <c r="II29" s="168"/>
      <c r="IJ29" s="168"/>
      <c r="IK29" s="168"/>
      <c r="IL29" s="168"/>
      <c r="IM29" s="168"/>
      <c r="IN29" s="168"/>
      <c r="IO29" s="168"/>
      <c r="IP29" s="168"/>
      <c r="IQ29" s="168"/>
      <c r="IR29" s="168"/>
      <c r="IS29" s="168"/>
      <c r="IT29" s="168"/>
      <c r="IU29" s="168"/>
      <c r="IV29" s="168"/>
      <c r="IW29" s="168"/>
      <c r="IX29" s="168"/>
      <c r="IY29" s="168"/>
      <c r="IZ29" s="168"/>
      <c r="JA29" s="168"/>
      <c r="JB29" s="168"/>
      <c r="JC29" s="168"/>
      <c r="JD29" s="168"/>
      <c r="JE29" s="168"/>
      <c r="JF29" s="168"/>
      <c r="JG29" s="168"/>
      <c r="JH29" s="168"/>
      <c r="JI29" s="168"/>
      <c r="JJ29" s="168"/>
      <c r="JK29" s="168"/>
      <c r="JL29" s="168"/>
      <c r="JM29" s="168"/>
      <c r="JN29" s="168"/>
      <c r="JO29" s="168"/>
      <c r="JP29" s="168"/>
      <c r="JQ29" s="168"/>
      <c r="JR29" s="168"/>
      <c r="JS29" s="168"/>
      <c r="JT29" s="168"/>
      <c r="JU29" s="168"/>
      <c r="JV29" s="168"/>
      <c r="JW29" s="168"/>
      <c r="JX29" s="168"/>
      <c r="JY29" s="168"/>
      <c r="JZ29" s="168"/>
      <c r="KA29" s="168"/>
      <c r="KB29" s="168"/>
      <c r="KC29" s="168"/>
      <c r="KD29" s="168"/>
      <c r="KE29" s="168"/>
      <c r="KF29" s="168"/>
      <c r="KG29" s="168"/>
      <c r="KH29" s="168"/>
      <c r="KI29" s="168"/>
      <c r="KJ29" s="168"/>
      <c r="KK29" s="168"/>
      <c r="KL29" s="168"/>
      <c r="KM29" s="168"/>
      <c r="KN29" s="168"/>
      <c r="KO29" s="168"/>
      <c r="KP29" s="168"/>
      <c r="KQ29" s="168"/>
      <c r="KR29" s="168"/>
      <c r="KS29" s="168"/>
      <c r="KT29" s="168"/>
      <c r="KU29" s="168"/>
      <c r="KV29" s="168"/>
      <c r="KW29" s="168"/>
      <c r="KX29" s="168"/>
      <c r="KY29" s="168"/>
      <c r="KZ29" s="168"/>
      <c r="LA29" s="168"/>
      <c r="LB29" s="168"/>
      <c r="LC29" s="168"/>
      <c r="LD29" s="168"/>
      <c r="LE29" s="168"/>
      <c r="LF29" s="168"/>
      <c r="LG29" s="168"/>
      <c r="LH29" s="168"/>
      <c r="LI29" s="168"/>
      <c r="LJ29" s="168"/>
      <c r="LK29" s="168"/>
      <c r="LL29" s="168"/>
      <c r="LM29" s="168"/>
      <c r="LN29" s="168"/>
      <c r="LO29" s="168"/>
      <c r="LP29" s="168"/>
      <c r="LQ29" s="168"/>
      <c r="LR29" s="168"/>
      <c r="LS29" s="168"/>
      <c r="LT29" s="168"/>
      <c r="LU29" s="168"/>
      <c r="LV29" s="168"/>
      <c r="LW29" s="168"/>
      <c r="LX29" s="168"/>
      <c r="LY29" s="168"/>
      <c r="LZ29" s="168"/>
      <c r="MA29" s="168"/>
      <c r="MB29" s="168"/>
      <c r="MC29" s="168"/>
      <c r="MD29" s="168"/>
      <c r="ME29" s="168"/>
      <c r="MF29" s="168"/>
      <c r="MG29" s="168"/>
      <c r="MH29" s="168"/>
      <c r="MI29" s="168"/>
      <c r="MJ29" s="168"/>
      <c r="MK29" s="168"/>
      <c r="ML29" s="168"/>
      <c r="MM29" s="168"/>
      <c r="MN29" s="168"/>
      <c r="MO29" s="168"/>
      <c r="MP29" s="168"/>
      <c r="MQ29" s="168"/>
      <c r="MR29" s="168"/>
      <c r="MS29" s="168"/>
      <c r="MT29" s="168"/>
      <c r="MU29" s="168"/>
      <c r="MV29" s="168"/>
      <c r="MW29" s="168"/>
      <c r="MX29" s="168"/>
      <c r="MY29" s="168"/>
      <c r="MZ29" s="168"/>
      <c r="NA29" s="168"/>
      <c r="NB29" s="168"/>
      <c r="NC29" s="168"/>
      <c r="ND29" s="168"/>
      <c r="NE29" s="168"/>
      <c r="NF29" s="168"/>
      <c r="NG29" s="168"/>
      <c r="NH29" s="168"/>
      <c r="NI29" s="168"/>
      <c r="NJ29" s="168"/>
      <c r="NK29" s="168"/>
      <c r="NL29" s="168"/>
      <c r="NM29" s="168"/>
      <c r="NN29" s="168"/>
      <c r="NO29" s="168"/>
      <c r="NP29" s="168"/>
      <c r="NQ29" s="168"/>
      <c r="NR29" s="168"/>
      <c r="NS29" s="168"/>
      <c r="NT29" s="168"/>
      <c r="NU29" s="168"/>
      <c r="NV29" s="168"/>
      <c r="NW29" s="168"/>
      <c r="NX29" s="168"/>
      <c r="NY29" s="168"/>
      <c r="NZ29" s="168"/>
      <c r="OA29" s="168"/>
      <c r="OB29" s="168"/>
      <c r="OC29" s="168"/>
      <c r="OD29" s="168"/>
    </row>
    <row r="30" spans="1:394" s="46" customFormat="1" ht="14.5">
      <c r="A30" s="105">
        <v>5</v>
      </c>
      <c r="B30" s="106" t="s">
        <v>263</v>
      </c>
      <c r="C30" s="106" t="s">
        <v>264</v>
      </c>
      <c r="D30" s="107" t="s">
        <v>265</v>
      </c>
      <c r="E30" s="108"/>
      <c r="F30" s="109"/>
      <c r="G30" s="110"/>
      <c r="H30" s="108">
        <f>E30*0.7*G30/4/3</f>
        <v>0</v>
      </c>
      <c r="I30" s="176" t="s">
        <v>266</v>
      </c>
      <c r="J30" s="108"/>
      <c r="K30" s="108"/>
      <c r="L30" s="177"/>
      <c r="M30" s="170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168"/>
      <c r="DH30" s="168"/>
      <c r="DI30" s="168"/>
      <c r="DJ30" s="168"/>
      <c r="DK30" s="168"/>
      <c r="DL30" s="168"/>
      <c r="DM30" s="168"/>
      <c r="DN30" s="168"/>
      <c r="DO30" s="168"/>
      <c r="DP30" s="168"/>
      <c r="DQ30" s="168"/>
      <c r="DR30" s="168"/>
      <c r="DS30" s="168"/>
      <c r="DT30" s="168"/>
      <c r="DU30" s="168"/>
      <c r="DV30" s="168"/>
      <c r="DW30" s="168"/>
      <c r="DX30" s="168"/>
      <c r="DY30" s="168"/>
      <c r="DZ30" s="168"/>
      <c r="EA30" s="168"/>
      <c r="EB30" s="168"/>
      <c r="EC30" s="168"/>
      <c r="ED30" s="168"/>
      <c r="EE30" s="168"/>
      <c r="EF30" s="168"/>
      <c r="EG30" s="168"/>
      <c r="EH30" s="168"/>
      <c r="EI30" s="168"/>
      <c r="EJ30" s="168"/>
      <c r="EK30" s="168"/>
      <c r="EL30" s="168"/>
      <c r="EM30" s="168"/>
      <c r="EN30" s="168"/>
      <c r="EO30" s="168"/>
      <c r="EP30" s="168"/>
      <c r="EQ30" s="168"/>
      <c r="ER30" s="168"/>
      <c r="ES30" s="168"/>
      <c r="ET30" s="168"/>
      <c r="EU30" s="168"/>
      <c r="EV30" s="168"/>
      <c r="EW30" s="168"/>
      <c r="EX30" s="168"/>
      <c r="EY30" s="168"/>
      <c r="EZ30" s="168"/>
      <c r="FA30" s="168"/>
      <c r="FB30" s="168"/>
      <c r="FC30" s="168"/>
      <c r="FD30" s="168"/>
      <c r="FE30" s="168"/>
      <c r="FF30" s="168"/>
      <c r="FG30" s="168"/>
      <c r="FH30" s="168"/>
      <c r="FI30" s="168"/>
      <c r="FJ30" s="168"/>
      <c r="FK30" s="168"/>
      <c r="FL30" s="168"/>
      <c r="FM30" s="168"/>
      <c r="FN30" s="168"/>
      <c r="FO30" s="168"/>
      <c r="FP30" s="168"/>
      <c r="FQ30" s="168"/>
      <c r="FR30" s="168"/>
      <c r="FS30" s="168"/>
      <c r="FT30" s="168"/>
      <c r="FU30" s="168"/>
      <c r="FV30" s="168"/>
      <c r="FW30" s="168"/>
      <c r="FX30" s="168"/>
      <c r="FY30" s="168"/>
      <c r="FZ30" s="168"/>
      <c r="GA30" s="168"/>
      <c r="GB30" s="168"/>
      <c r="GC30" s="168"/>
      <c r="GD30" s="168"/>
      <c r="GE30" s="168"/>
      <c r="GF30" s="168"/>
      <c r="GG30" s="168"/>
      <c r="GH30" s="168"/>
      <c r="GI30" s="168"/>
      <c r="GJ30" s="168"/>
      <c r="GK30" s="168"/>
      <c r="GL30" s="168"/>
      <c r="GM30" s="168"/>
      <c r="GN30" s="168"/>
      <c r="GO30" s="168"/>
      <c r="GP30" s="168"/>
      <c r="GQ30" s="168"/>
      <c r="GR30" s="168"/>
      <c r="GS30" s="168"/>
      <c r="GT30" s="168"/>
      <c r="GU30" s="168"/>
      <c r="GV30" s="168"/>
      <c r="GW30" s="168"/>
      <c r="GX30" s="168"/>
      <c r="GY30" s="168"/>
      <c r="GZ30" s="168"/>
      <c r="HA30" s="168"/>
      <c r="HB30" s="168"/>
      <c r="HC30" s="168"/>
      <c r="HD30" s="168"/>
      <c r="HE30" s="168"/>
      <c r="HF30" s="168"/>
      <c r="HG30" s="168"/>
      <c r="HH30" s="168"/>
      <c r="HI30" s="168"/>
      <c r="HJ30" s="168"/>
      <c r="HK30" s="168"/>
      <c r="HL30" s="168"/>
      <c r="HM30" s="168"/>
      <c r="HN30" s="168"/>
      <c r="HO30" s="168"/>
      <c r="HP30" s="168"/>
      <c r="HQ30" s="168"/>
      <c r="HR30" s="168"/>
      <c r="HS30" s="168"/>
      <c r="HT30" s="168"/>
      <c r="HU30" s="168"/>
      <c r="HV30" s="168"/>
      <c r="HW30" s="168"/>
      <c r="HX30" s="168"/>
      <c r="HY30" s="168"/>
      <c r="HZ30" s="168"/>
      <c r="IA30" s="168"/>
      <c r="IB30" s="168"/>
      <c r="IC30" s="168"/>
      <c r="ID30" s="168"/>
      <c r="IE30" s="168"/>
      <c r="IF30" s="168"/>
      <c r="IG30" s="168"/>
      <c r="IH30" s="168"/>
      <c r="II30" s="168"/>
      <c r="IJ30" s="168"/>
      <c r="IK30" s="168"/>
      <c r="IL30" s="168"/>
      <c r="IM30" s="168"/>
      <c r="IN30" s="168"/>
      <c r="IO30" s="168"/>
      <c r="IP30" s="168"/>
      <c r="IQ30" s="168"/>
      <c r="IR30" s="168"/>
      <c r="IS30" s="168"/>
      <c r="IT30" s="168"/>
      <c r="IU30" s="168"/>
      <c r="IV30" s="168"/>
      <c r="IW30" s="168"/>
      <c r="IX30" s="168"/>
      <c r="IY30" s="168"/>
      <c r="IZ30" s="168"/>
      <c r="JA30" s="168"/>
      <c r="JB30" s="168"/>
      <c r="JC30" s="168"/>
      <c r="JD30" s="168"/>
      <c r="JE30" s="168"/>
      <c r="JF30" s="168"/>
      <c r="JG30" s="168"/>
      <c r="JH30" s="168"/>
      <c r="JI30" s="168"/>
      <c r="JJ30" s="168"/>
      <c r="JK30" s="168"/>
      <c r="JL30" s="168"/>
      <c r="JM30" s="168"/>
      <c r="JN30" s="168"/>
      <c r="JO30" s="168"/>
      <c r="JP30" s="168"/>
      <c r="JQ30" s="168"/>
      <c r="JR30" s="168"/>
      <c r="JS30" s="168"/>
      <c r="JT30" s="168"/>
      <c r="JU30" s="168"/>
      <c r="JV30" s="168"/>
      <c r="JW30" s="168"/>
      <c r="JX30" s="168"/>
      <c r="JY30" s="168"/>
      <c r="JZ30" s="168"/>
      <c r="KA30" s="168"/>
      <c r="KB30" s="168"/>
      <c r="KC30" s="168"/>
      <c r="KD30" s="168"/>
      <c r="KE30" s="168"/>
      <c r="KF30" s="168"/>
      <c r="KG30" s="168"/>
      <c r="KH30" s="168"/>
      <c r="KI30" s="168"/>
      <c r="KJ30" s="168"/>
      <c r="KK30" s="168"/>
      <c r="KL30" s="168"/>
      <c r="KM30" s="168"/>
      <c r="KN30" s="168"/>
      <c r="KO30" s="168"/>
      <c r="KP30" s="168"/>
      <c r="KQ30" s="168"/>
      <c r="KR30" s="168"/>
      <c r="KS30" s="168"/>
      <c r="KT30" s="168"/>
      <c r="KU30" s="168"/>
      <c r="KV30" s="168"/>
      <c r="KW30" s="168"/>
      <c r="KX30" s="168"/>
      <c r="KY30" s="168"/>
      <c r="KZ30" s="168"/>
      <c r="LA30" s="168"/>
      <c r="LB30" s="168"/>
      <c r="LC30" s="168"/>
      <c r="LD30" s="168"/>
      <c r="LE30" s="168"/>
      <c r="LF30" s="168"/>
      <c r="LG30" s="168"/>
      <c r="LH30" s="168"/>
      <c r="LI30" s="168"/>
      <c r="LJ30" s="168"/>
      <c r="LK30" s="168"/>
      <c r="LL30" s="168"/>
      <c r="LM30" s="168"/>
      <c r="LN30" s="168"/>
      <c r="LO30" s="168"/>
      <c r="LP30" s="168"/>
      <c r="LQ30" s="168"/>
      <c r="LR30" s="168"/>
      <c r="LS30" s="168"/>
      <c r="LT30" s="168"/>
      <c r="LU30" s="168"/>
      <c r="LV30" s="168"/>
      <c r="LW30" s="168"/>
      <c r="LX30" s="168"/>
      <c r="LY30" s="168"/>
      <c r="LZ30" s="168"/>
      <c r="MA30" s="168"/>
      <c r="MB30" s="168"/>
      <c r="MC30" s="168"/>
      <c r="MD30" s="168"/>
      <c r="ME30" s="168"/>
      <c r="MF30" s="168"/>
      <c r="MG30" s="168"/>
      <c r="MH30" s="168"/>
      <c r="MI30" s="168"/>
      <c r="MJ30" s="168"/>
      <c r="MK30" s="168"/>
      <c r="ML30" s="168"/>
      <c r="MM30" s="168"/>
      <c r="MN30" s="168"/>
      <c r="MO30" s="168"/>
      <c r="MP30" s="168"/>
      <c r="MQ30" s="168"/>
      <c r="MR30" s="168"/>
      <c r="MS30" s="168"/>
      <c r="MT30" s="168"/>
      <c r="MU30" s="168"/>
      <c r="MV30" s="168"/>
      <c r="MW30" s="168"/>
      <c r="MX30" s="168"/>
      <c r="MY30" s="168"/>
      <c r="MZ30" s="168"/>
      <c r="NA30" s="168"/>
      <c r="NB30" s="168"/>
      <c r="NC30" s="168"/>
      <c r="ND30" s="168"/>
      <c r="NE30" s="168"/>
      <c r="NF30" s="168"/>
      <c r="NG30" s="168"/>
      <c r="NH30" s="168"/>
      <c r="NI30" s="168"/>
      <c r="NJ30" s="168"/>
      <c r="NK30" s="168"/>
      <c r="NL30" s="168"/>
      <c r="NM30" s="168"/>
      <c r="NN30" s="168"/>
      <c r="NO30" s="168"/>
      <c r="NP30" s="168"/>
      <c r="NQ30" s="168"/>
      <c r="NR30" s="168"/>
      <c r="NS30" s="168"/>
      <c r="NT30" s="168"/>
      <c r="NU30" s="168"/>
      <c r="NV30" s="168"/>
      <c r="NW30" s="168"/>
      <c r="NX30" s="168"/>
      <c r="NY30" s="168"/>
      <c r="NZ30" s="168"/>
      <c r="OA30" s="168"/>
      <c r="OB30" s="168"/>
      <c r="OC30" s="168"/>
      <c r="OD30" s="168"/>
    </row>
    <row r="31" spans="1:394" s="46" customFormat="1" ht="14.5">
      <c r="A31" s="280">
        <v>6</v>
      </c>
      <c r="B31" s="291" t="s">
        <v>267</v>
      </c>
      <c r="C31" s="112" t="s">
        <v>268</v>
      </c>
      <c r="D31" s="298"/>
      <c r="E31" s="113">
        <v>0</v>
      </c>
      <c r="F31" s="109">
        <v>26.25</v>
      </c>
      <c r="G31" s="110"/>
      <c r="H31" s="113">
        <f>E31*F31*50%</f>
        <v>0</v>
      </c>
      <c r="I31" s="176"/>
      <c r="J31" s="108"/>
      <c r="K31" s="108"/>
      <c r="L31" s="177"/>
      <c r="M31" s="170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168"/>
      <c r="DH31" s="168"/>
      <c r="DI31" s="168"/>
      <c r="DJ31" s="168"/>
      <c r="DK31" s="168"/>
      <c r="DL31" s="168"/>
      <c r="DM31" s="168"/>
      <c r="DN31" s="168"/>
      <c r="DO31" s="168"/>
      <c r="DP31" s="168"/>
      <c r="DQ31" s="168"/>
      <c r="DR31" s="168"/>
      <c r="DS31" s="168"/>
      <c r="DT31" s="168"/>
      <c r="DU31" s="168"/>
      <c r="DV31" s="168"/>
      <c r="DW31" s="168"/>
      <c r="DX31" s="168"/>
      <c r="DY31" s="168"/>
      <c r="DZ31" s="168"/>
      <c r="EA31" s="168"/>
      <c r="EB31" s="168"/>
      <c r="EC31" s="168"/>
      <c r="ED31" s="168"/>
      <c r="EE31" s="168"/>
      <c r="EF31" s="168"/>
      <c r="EG31" s="168"/>
      <c r="EH31" s="168"/>
      <c r="EI31" s="168"/>
      <c r="EJ31" s="168"/>
      <c r="EK31" s="168"/>
      <c r="EL31" s="168"/>
      <c r="EM31" s="168"/>
      <c r="EN31" s="168"/>
      <c r="EO31" s="168"/>
      <c r="EP31" s="168"/>
      <c r="EQ31" s="168"/>
      <c r="ER31" s="168"/>
      <c r="ES31" s="168"/>
      <c r="ET31" s="168"/>
      <c r="EU31" s="168"/>
      <c r="EV31" s="168"/>
      <c r="EW31" s="168"/>
      <c r="EX31" s="168"/>
      <c r="EY31" s="168"/>
      <c r="EZ31" s="168"/>
      <c r="FA31" s="168"/>
      <c r="FB31" s="168"/>
      <c r="FC31" s="168"/>
      <c r="FD31" s="168"/>
      <c r="FE31" s="168"/>
      <c r="FF31" s="168"/>
      <c r="FG31" s="168"/>
      <c r="FH31" s="168"/>
      <c r="FI31" s="168"/>
      <c r="FJ31" s="168"/>
      <c r="FK31" s="168"/>
      <c r="FL31" s="168"/>
      <c r="FM31" s="168"/>
      <c r="FN31" s="168"/>
      <c r="FO31" s="168"/>
      <c r="FP31" s="168"/>
      <c r="FQ31" s="168"/>
      <c r="FR31" s="168"/>
      <c r="FS31" s="168"/>
      <c r="FT31" s="168"/>
      <c r="FU31" s="168"/>
      <c r="FV31" s="168"/>
      <c r="FW31" s="168"/>
      <c r="FX31" s="168"/>
      <c r="FY31" s="168"/>
      <c r="FZ31" s="168"/>
      <c r="GA31" s="168"/>
      <c r="GB31" s="168"/>
      <c r="GC31" s="168"/>
      <c r="GD31" s="168"/>
      <c r="GE31" s="168"/>
      <c r="GF31" s="168"/>
      <c r="GG31" s="168"/>
      <c r="GH31" s="168"/>
      <c r="GI31" s="168"/>
      <c r="GJ31" s="168"/>
      <c r="GK31" s="168"/>
      <c r="GL31" s="168"/>
      <c r="GM31" s="168"/>
      <c r="GN31" s="168"/>
      <c r="GO31" s="168"/>
      <c r="GP31" s="168"/>
      <c r="GQ31" s="168"/>
      <c r="GR31" s="168"/>
      <c r="GS31" s="168"/>
      <c r="GT31" s="168"/>
      <c r="GU31" s="168"/>
      <c r="GV31" s="168"/>
      <c r="GW31" s="168"/>
      <c r="GX31" s="168"/>
      <c r="GY31" s="168"/>
      <c r="GZ31" s="168"/>
      <c r="HA31" s="168"/>
      <c r="HB31" s="168"/>
      <c r="HC31" s="168"/>
      <c r="HD31" s="168"/>
      <c r="HE31" s="168"/>
      <c r="HF31" s="168"/>
      <c r="HG31" s="168"/>
      <c r="HH31" s="168"/>
      <c r="HI31" s="168"/>
      <c r="HJ31" s="168"/>
      <c r="HK31" s="168"/>
      <c r="HL31" s="168"/>
      <c r="HM31" s="168"/>
      <c r="HN31" s="168"/>
      <c r="HO31" s="168"/>
      <c r="HP31" s="168"/>
      <c r="HQ31" s="168"/>
      <c r="HR31" s="168"/>
      <c r="HS31" s="168"/>
      <c r="HT31" s="168"/>
      <c r="HU31" s="168"/>
      <c r="HV31" s="168"/>
      <c r="HW31" s="168"/>
      <c r="HX31" s="168"/>
      <c r="HY31" s="168"/>
      <c r="HZ31" s="168"/>
      <c r="IA31" s="168"/>
      <c r="IB31" s="168"/>
      <c r="IC31" s="168"/>
      <c r="ID31" s="168"/>
      <c r="IE31" s="168"/>
      <c r="IF31" s="168"/>
      <c r="IG31" s="168"/>
      <c r="IH31" s="168"/>
      <c r="II31" s="168"/>
      <c r="IJ31" s="168"/>
      <c r="IK31" s="168"/>
      <c r="IL31" s="168"/>
      <c r="IM31" s="168"/>
      <c r="IN31" s="168"/>
      <c r="IO31" s="168"/>
      <c r="IP31" s="168"/>
      <c r="IQ31" s="168"/>
      <c r="IR31" s="168"/>
      <c r="IS31" s="168"/>
      <c r="IT31" s="168"/>
      <c r="IU31" s="168"/>
      <c r="IV31" s="168"/>
      <c r="IW31" s="168"/>
      <c r="IX31" s="168"/>
      <c r="IY31" s="168"/>
      <c r="IZ31" s="168"/>
      <c r="JA31" s="168"/>
      <c r="JB31" s="168"/>
      <c r="JC31" s="168"/>
      <c r="JD31" s="168"/>
      <c r="JE31" s="168"/>
      <c r="JF31" s="168"/>
      <c r="JG31" s="168"/>
      <c r="JH31" s="168"/>
      <c r="JI31" s="168"/>
      <c r="JJ31" s="168"/>
      <c r="JK31" s="168"/>
      <c r="JL31" s="168"/>
      <c r="JM31" s="168"/>
      <c r="JN31" s="168"/>
      <c r="JO31" s="168"/>
      <c r="JP31" s="168"/>
      <c r="JQ31" s="168"/>
      <c r="JR31" s="168"/>
      <c r="JS31" s="168"/>
      <c r="JT31" s="168"/>
      <c r="JU31" s="168"/>
      <c r="JV31" s="168"/>
      <c r="JW31" s="168"/>
      <c r="JX31" s="168"/>
      <c r="JY31" s="168"/>
      <c r="JZ31" s="168"/>
      <c r="KA31" s="168"/>
      <c r="KB31" s="168"/>
      <c r="KC31" s="168"/>
      <c r="KD31" s="168"/>
      <c r="KE31" s="168"/>
      <c r="KF31" s="168"/>
      <c r="KG31" s="168"/>
      <c r="KH31" s="168"/>
      <c r="KI31" s="168"/>
      <c r="KJ31" s="168"/>
      <c r="KK31" s="168"/>
      <c r="KL31" s="168"/>
      <c r="KM31" s="168"/>
      <c r="KN31" s="168"/>
      <c r="KO31" s="168"/>
      <c r="KP31" s="168"/>
      <c r="KQ31" s="168"/>
      <c r="KR31" s="168"/>
      <c r="KS31" s="168"/>
      <c r="KT31" s="168"/>
      <c r="KU31" s="168"/>
      <c r="KV31" s="168"/>
      <c r="KW31" s="168"/>
      <c r="KX31" s="168"/>
      <c r="KY31" s="168"/>
      <c r="KZ31" s="168"/>
      <c r="LA31" s="168"/>
      <c r="LB31" s="168"/>
      <c r="LC31" s="168"/>
      <c r="LD31" s="168"/>
      <c r="LE31" s="168"/>
      <c r="LF31" s="168"/>
      <c r="LG31" s="168"/>
      <c r="LH31" s="168"/>
      <c r="LI31" s="168"/>
      <c r="LJ31" s="168"/>
      <c r="LK31" s="168"/>
      <c r="LL31" s="168"/>
      <c r="LM31" s="168"/>
      <c r="LN31" s="168"/>
      <c r="LO31" s="168"/>
      <c r="LP31" s="168"/>
      <c r="LQ31" s="168"/>
      <c r="LR31" s="168"/>
      <c r="LS31" s="168"/>
      <c r="LT31" s="168"/>
      <c r="LU31" s="168"/>
      <c r="LV31" s="168"/>
      <c r="LW31" s="168"/>
      <c r="LX31" s="168"/>
      <c r="LY31" s="168"/>
      <c r="LZ31" s="168"/>
      <c r="MA31" s="168"/>
      <c r="MB31" s="168"/>
      <c r="MC31" s="168"/>
      <c r="MD31" s="168"/>
      <c r="ME31" s="168"/>
      <c r="MF31" s="168"/>
      <c r="MG31" s="168"/>
      <c r="MH31" s="168"/>
      <c r="MI31" s="168"/>
      <c r="MJ31" s="168"/>
      <c r="MK31" s="168"/>
      <c r="ML31" s="168"/>
      <c r="MM31" s="168"/>
      <c r="MN31" s="168"/>
      <c r="MO31" s="168"/>
      <c r="MP31" s="168"/>
      <c r="MQ31" s="168"/>
      <c r="MR31" s="168"/>
      <c r="MS31" s="168"/>
      <c r="MT31" s="168"/>
      <c r="MU31" s="168"/>
      <c r="MV31" s="168"/>
      <c r="MW31" s="168"/>
      <c r="MX31" s="168"/>
      <c r="MY31" s="168"/>
      <c r="MZ31" s="168"/>
      <c r="NA31" s="168"/>
      <c r="NB31" s="168"/>
      <c r="NC31" s="168"/>
      <c r="ND31" s="168"/>
      <c r="NE31" s="168"/>
      <c r="NF31" s="168"/>
      <c r="NG31" s="168"/>
      <c r="NH31" s="168"/>
      <c r="NI31" s="168"/>
      <c r="NJ31" s="168"/>
      <c r="NK31" s="168"/>
      <c r="NL31" s="168"/>
      <c r="NM31" s="168"/>
      <c r="NN31" s="168"/>
      <c r="NO31" s="168"/>
      <c r="NP31" s="168"/>
      <c r="NQ31" s="168"/>
      <c r="NR31" s="168"/>
      <c r="NS31" s="168"/>
      <c r="NT31" s="168"/>
      <c r="NU31" s="168"/>
      <c r="NV31" s="168"/>
      <c r="NW31" s="168"/>
      <c r="NX31" s="168"/>
      <c r="NY31" s="168"/>
      <c r="NZ31" s="168"/>
      <c r="OA31" s="168"/>
      <c r="OB31" s="168"/>
      <c r="OC31" s="168"/>
      <c r="OD31" s="168"/>
    </row>
    <row r="32" spans="1:394" s="46" customFormat="1" ht="14.5">
      <c r="A32" s="280"/>
      <c r="B32" s="291"/>
      <c r="C32" s="114" t="s">
        <v>269</v>
      </c>
      <c r="D32" s="298"/>
      <c r="E32" s="113">
        <v>0</v>
      </c>
      <c r="F32" s="109">
        <v>21</v>
      </c>
      <c r="G32" s="110"/>
      <c r="H32" s="113">
        <f>E32*F32*50%</f>
        <v>0</v>
      </c>
      <c r="I32" s="176"/>
      <c r="J32" s="108"/>
      <c r="K32" s="108"/>
      <c r="L32" s="177"/>
      <c r="M32" s="170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168"/>
      <c r="DH32" s="168"/>
      <c r="DI32" s="168"/>
      <c r="DJ32" s="168"/>
      <c r="DK32" s="168"/>
      <c r="DL32" s="168"/>
      <c r="DM32" s="168"/>
      <c r="DN32" s="168"/>
      <c r="DO32" s="168"/>
      <c r="DP32" s="168"/>
      <c r="DQ32" s="168"/>
      <c r="DR32" s="168"/>
      <c r="DS32" s="168"/>
      <c r="DT32" s="168"/>
      <c r="DU32" s="168"/>
      <c r="DV32" s="168"/>
      <c r="DW32" s="168"/>
      <c r="DX32" s="168"/>
      <c r="DY32" s="168"/>
      <c r="DZ32" s="168"/>
      <c r="EA32" s="168"/>
      <c r="EB32" s="168"/>
      <c r="EC32" s="168"/>
      <c r="ED32" s="168"/>
      <c r="EE32" s="168"/>
      <c r="EF32" s="168"/>
      <c r="EG32" s="168"/>
      <c r="EH32" s="168"/>
      <c r="EI32" s="168"/>
      <c r="EJ32" s="168"/>
      <c r="EK32" s="168"/>
      <c r="EL32" s="168"/>
      <c r="EM32" s="168"/>
      <c r="EN32" s="168"/>
      <c r="EO32" s="168"/>
      <c r="EP32" s="168"/>
      <c r="EQ32" s="168"/>
      <c r="ER32" s="168"/>
      <c r="ES32" s="168"/>
      <c r="ET32" s="168"/>
      <c r="EU32" s="168"/>
      <c r="EV32" s="168"/>
      <c r="EW32" s="168"/>
      <c r="EX32" s="168"/>
      <c r="EY32" s="168"/>
      <c r="EZ32" s="168"/>
      <c r="FA32" s="168"/>
      <c r="FB32" s="168"/>
      <c r="FC32" s="168"/>
      <c r="FD32" s="168"/>
      <c r="FE32" s="168"/>
      <c r="FF32" s="168"/>
      <c r="FG32" s="168"/>
      <c r="FH32" s="168"/>
      <c r="FI32" s="168"/>
      <c r="FJ32" s="168"/>
      <c r="FK32" s="168"/>
      <c r="FL32" s="168"/>
      <c r="FM32" s="168"/>
      <c r="FN32" s="168"/>
      <c r="FO32" s="168"/>
      <c r="FP32" s="168"/>
      <c r="FQ32" s="168"/>
      <c r="FR32" s="168"/>
      <c r="FS32" s="168"/>
      <c r="FT32" s="168"/>
      <c r="FU32" s="168"/>
      <c r="FV32" s="168"/>
      <c r="FW32" s="168"/>
      <c r="FX32" s="168"/>
      <c r="FY32" s="168"/>
      <c r="FZ32" s="168"/>
      <c r="GA32" s="168"/>
      <c r="GB32" s="168"/>
      <c r="GC32" s="168"/>
      <c r="GD32" s="168"/>
      <c r="GE32" s="168"/>
      <c r="GF32" s="168"/>
      <c r="GG32" s="168"/>
      <c r="GH32" s="168"/>
      <c r="GI32" s="168"/>
      <c r="GJ32" s="168"/>
      <c r="GK32" s="168"/>
      <c r="GL32" s="168"/>
      <c r="GM32" s="168"/>
      <c r="GN32" s="168"/>
      <c r="GO32" s="168"/>
      <c r="GP32" s="168"/>
      <c r="GQ32" s="168"/>
      <c r="GR32" s="168"/>
      <c r="GS32" s="168"/>
      <c r="GT32" s="168"/>
      <c r="GU32" s="168"/>
      <c r="GV32" s="168"/>
      <c r="GW32" s="168"/>
      <c r="GX32" s="168"/>
      <c r="GY32" s="168"/>
      <c r="GZ32" s="168"/>
      <c r="HA32" s="168"/>
      <c r="HB32" s="168"/>
      <c r="HC32" s="168"/>
      <c r="HD32" s="168"/>
      <c r="HE32" s="168"/>
      <c r="HF32" s="168"/>
      <c r="HG32" s="168"/>
      <c r="HH32" s="168"/>
      <c r="HI32" s="168"/>
      <c r="HJ32" s="168"/>
      <c r="HK32" s="168"/>
      <c r="HL32" s="168"/>
      <c r="HM32" s="168"/>
      <c r="HN32" s="168"/>
      <c r="HO32" s="168"/>
      <c r="HP32" s="168"/>
      <c r="HQ32" s="168"/>
      <c r="HR32" s="168"/>
      <c r="HS32" s="168"/>
      <c r="HT32" s="168"/>
      <c r="HU32" s="168"/>
      <c r="HV32" s="168"/>
      <c r="HW32" s="168"/>
      <c r="HX32" s="168"/>
      <c r="HY32" s="168"/>
      <c r="HZ32" s="168"/>
      <c r="IA32" s="168"/>
      <c r="IB32" s="168"/>
      <c r="IC32" s="168"/>
      <c r="ID32" s="168"/>
      <c r="IE32" s="168"/>
      <c r="IF32" s="168"/>
      <c r="IG32" s="168"/>
      <c r="IH32" s="168"/>
      <c r="II32" s="168"/>
      <c r="IJ32" s="168"/>
      <c r="IK32" s="168"/>
      <c r="IL32" s="168"/>
      <c r="IM32" s="168"/>
      <c r="IN32" s="168"/>
      <c r="IO32" s="168"/>
      <c r="IP32" s="168"/>
      <c r="IQ32" s="168"/>
      <c r="IR32" s="168"/>
      <c r="IS32" s="168"/>
      <c r="IT32" s="168"/>
      <c r="IU32" s="168"/>
      <c r="IV32" s="168"/>
      <c r="IW32" s="168"/>
      <c r="IX32" s="168"/>
      <c r="IY32" s="168"/>
      <c r="IZ32" s="168"/>
      <c r="JA32" s="168"/>
      <c r="JB32" s="168"/>
      <c r="JC32" s="168"/>
      <c r="JD32" s="168"/>
      <c r="JE32" s="168"/>
      <c r="JF32" s="168"/>
      <c r="JG32" s="168"/>
      <c r="JH32" s="168"/>
      <c r="JI32" s="168"/>
      <c r="JJ32" s="168"/>
      <c r="JK32" s="168"/>
      <c r="JL32" s="168"/>
      <c r="JM32" s="168"/>
      <c r="JN32" s="168"/>
      <c r="JO32" s="168"/>
      <c r="JP32" s="168"/>
      <c r="JQ32" s="168"/>
      <c r="JR32" s="168"/>
      <c r="JS32" s="168"/>
      <c r="JT32" s="168"/>
      <c r="JU32" s="168"/>
      <c r="JV32" s="168"/>
      <c r="JW32" s="168"/>
      <c r="JX32" s="168"/>
      <c r="JY32" s="168"/>
      <c r="JZ32" s="168"/>
      <c r="KA32" s="168"/>
      <c r="KB32" s="168"/>
      <c r="KC32" s="168"/>
      <c r="KD32" s="168"/>
      <c r="KE32" s="168"/>
      <c r="KF32" s="168"/>
      <c r="KG32" s="168"/>
      <c r="KH32" s="168"/>
      <c r="KI32" s="168"/>
      <c r="KJ32" s="168"/>
      <c r="KK32" s="168"/>
      <c r="KL32" s="168"/>
      <c r="KM32" s="168"/>
      <c r="KN32" s="168"/>
      <c r="KO32" s="168"/>
      <c r="KP32" s="168"/>
      <c r="KQ32" s="168"/>
      <c r="KR32" s="168"/>
      <c r="KS32" s="168"/>
      <c r="KT32" s="168"/>
      <c r="KU32" s="168"/>
      <c r="KV32" s="168"/>
      <c r="KW32" s="168"/>
      <c r="KX32" s="168"/>
      <c r="KY32" s="168"/>
      <c r="KZ32" s="168"/>
      <c r="LA32" s="168"/>
      <c r="LB32" s="168"/>
      <c r="LC32" s="168"/>
      <c r="LD32" s="168"/>
      <c r="LE32" s="168"/>
      <c r="LF32" s="168"/>
      <c r="LG32" s="168"/>
      <c r="LH32" s="168"/>
      <c r="LI32" s="168"/>
      <c r="LJ32" s="168"/>
      <c r="LK32" s="168"/>
      <c r="LL32" s="168"/>
      <c r="LM32" s="168"/>
      <c r="LN32" s="168"/>
      <c r="LO32" s="168"/>
      <c r="LP32" s="168"/>
      <c r="LQ32" s="168"/>
      <c r="LR32" s="168"/>
      <c r="LS32" s="168"/>
      <c r="LT32" s="168"/>
      <c r="LU32" s="168"/>
      <c r="LV32" s="168"/>
      <c r="LW32" s="168"/>
      <c r="LX32" s="168"/>
      <c r="LY32" s="168"/>
      <c r="LZ32" s="168"/>
      <c r="MA32" s="168"/>
      <c r="MB32" s="168"/>
      <c r="MC32" s="168"/>
      <c r="MD32" s="168"/>
      <c r="ME32" s="168"/>
      <c r="MF32" s="168"/>
      <c r="MG32" s="168"/>
      <c r="MH32" s="168"/>
      <c r="MI32" s="168"/>
      <c r="MJ32" s="168"/>
      <c r="MK32" s="168"/>
      <c r="ML32" s="168"/>
      <c r="MM32" s="168"/>
      <c r="MN32" s="168"/>
      <c r="MO32" s="168"/>
      <c r="MP32" s="168"/>
      <c r="MQ32" s="168"/>
      <c r="MR32" s="168"/>
      <c r="MS32" s="168"/>
      <c r="MT32" s="168"/>
      <c r="MU32" s="168"/>
      <c r="MV32" s="168"/>
      <c r="MW32" s="168"/>
      <c r="MX32" s="168"/>
      <c r="MY32" s="168"/>
      <c r="MZ32" s="168"/>
      <c r="NA32" s="168"/>
      <c r="NB32" s="168"/>
      <c r="NC32" s="168"/>
      <c r="ND32" s="168"/>
      <c r="NE32" s="168"/>
      <c r="NF32" s="168"/>
      <c r="NG32" s="168"/>
      <c r="NH32" s="168"/>
      <c r="NI32" s="168"/>
      <c r="NJ32" s="168"/>
      <c r="NK32" s="168"/>
      <c r="NL32" s="168"/>
      <c r="NM32" s="168"/>
      <c r="NN32" s="168"/>
      <c r="NO32" s="168"/>
      <c r="NP32" s="168"/>
      <c r="NQ32" s="168"/>
      <c r="NR32" s="168"/>
      <c r="NS32" s="168"/>
      <c r="NT32" s="168"/>
      <c r="NU32" s="168"/>
      <c r="NV32" s="168"/>
      <c r="NW32" s="168"/>
      <c r="NX32" s="168"/>
      <c r="NY32" s="168"/>
      <c r="NZ32" s="168"/>
      <c r="OA32" s="168"/>
      <c r="OB32" s="168"/>
      <c r="OC32" s="168"/>
      <c r="OD32" s="168"/>
    </row>
    <row r="33" spans="1:394" s="46" customFormat="1" ht="27" customHeight="1">
      <c r="A33" s="115">
        <v>7</v>
      </c>
      <c r="B33" s="111" t="s">
        <v>270</v>
      </c>
      <c r="C33" s="114"/>
      <c r="D33" s="107"/>
      <c r="E33" s="113"/>
      <c r="F33" s="109"/>
      <c r="G33" s="110"/>
      <c r="H33" s="113"/>
      <c r="I33" s="176"/>
      <c r="J33" s="108"/>
      <c r="K33" s="108"/>
      <c r="L33" s="177"/>
      <c r="M33" s="170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168"/>
      <c r="DH33" s="168"/>
      <c r="DI33" s="168"/>
      <c r="DJ33" s="168"/>
      <c r="DK33" s="168"/>
      <c r="DL33" s="168"/>
      <c r="DM33" s="168"/>
      <c r="DN33" s="168"/>
      <c r="DO33" s="168"/>
      <c r="DP33" s="168"/>
      <c r="DQ33" s="168"/>
      <c r="DR33" s="168"/>
      <c r="DS33" s="168"/>
      <c r="DT33" s="168"/>
      <c r="DU33" s="168"/>
      <c r="DV33" s="168"/>
      <c r="DW33" s="168"/>
      <c r="DX33" s="168"/>
      <c r="DY33" s="168"/>
      <c r="DZ33" s="168"/>
      <c r="EA33" s="168"/>
      <c r="EB33" s="168"/>
      <c r="EC33" s="168"/>
      <c r="ED33" s="168"/>
      <c r="EE33" s="168"/>
      <c r="EF33" s="168"/>
      <c r="EG33" s="168"/>
      <c r="EH33" s="168"/>
      <c r="EI33" s="168"/>
      <c r="EJ33" s="168"/>
      <c r="EK33" s="168"/>
      <c r="EL33" s="168"/>
      <c r="EM33" s="168"/>
      <c r="EN33" s="168"/>
      <c r="EO33" s="168"/>
      <c r="EP33" s="168"/>
      <c r="EQ33" s="168"/>
      <c r="ER33" s="168"/>
      <c r="ES33" s="168"/>
      <c r="ET33" s="168"/>
      <c r="EU33" s="168"/>
      <c r="EV33" s="168"/>
      <c r="EW33" s="168"/>
      <c r="EX33" s="168"/>
      <c r="EY33" s="168"/>
      <c r="EZ33" s="168"/>
      <c r="FA33" s="168"/>
      <c r="FB33" s="168"/>
      <c r="FC33" s="168"/>
      <c r="FD33" s="168"/>
      <c r="FE33" s="168"/>
      <c r="FF33" s="168"/>
      <c r="FG33" s="168"/>
      <c r="FH33" s="168"/>
      <c r="FI33" s="168"/>
      <c r="FJ33" s="168"/>
      <c r="FK33" s="168"/>
      <c r="FL33" s="168"/>
      <c r="FM33" s="168"/>
      <c r="FN33" s="168"/>
      <c r="FO33" s="168"/>
      <c r="FP33" s="168"/>
      <c r="FQ33" s="168"/>
      <c r="FR33" s="168"/>
      <c r="FS33" s="168"/>
      <c r="FT33" s="168"/>
      <c r="FU33" s="168"/>
      <c r="FV33" s="168"/>
      <c r="FW33" s="168"/>
      <c r="FX33" s="168"/>
      <c r="FY33" s="168"/>
      <c r="FZ33" s="168"/>
      <c r="GA33" s="168"/>
      <c r="GB33" s="168"/>
      <c r="GC33" s="168"/>
      <c r="GD33" s="168"/>
      <c r="GE33" s="168"/>
      <c r="GF33" s="168"/>
      <c r="GG33" s="168"/>
      <c r="GH33" s="168"/>
      <c r="GI33" s="168"/>
      <c r="GJ33" s="168"/>
      <c r="GK33" s="168"/>
      <c r="GL33" s="168"/>
      <c r="GM33" s="168"/>
      <c r="GN33" s="168"/>
      <c r="GO33" s="168"/>
      <c r="GP33" s="168"/>
      <c r="GQ33" s="168"/>
      <c r="GR33" s="168"/>
      <c r="GS33" s="168"/>
      <c r="GT33" s="168"/>
      <c r="GU33" s="168"/>
      <c r="GV33" s="168"/>
      <c r="GW33" s="168"/>
      <c r="GX33" s="168"/>
      <c r="GY33" s="168"/>
      <c r="GZ33" s="168"/>
      <c r="HA33" s="168"/>
      <c r="HB33" s="168"/>
      <c r="HC33" s="168"/>
      <c r="HD33" s="168"/>
      <c r="HE33" s="168"/>
      <c r="HF33" s="168"/>
      <c r="HG33" s="168"/>
      <c r="HH33" s="168"/>
      <c r="HI33" s="168"/>
      <c r="HJ33" s="168"/>
      <c r="HK33" s="168"/>
      <c r="HL33" s="168"/>
      <c r="HM33" s="168"/>
      <c r="HN33" s="168"/>
      <c r="HO33" s="168"/>
      <c r="HP33" s="168"/>
      <c r="HQ33" s="168"/>
      <c r="HR33" s="168"/>
      <c r="HS33" s="168"/>
      <c r="HT33" s="168"/>
      <c r="HU33" s="168"/>
      <c r="HV33" s="168"/>
      <c r="HW33" s="168"/>
      <c r="HX33" s="168"/>
      <c r="HY33" s="168"/>
      <c r="HZ33" s="168"/>
      <c r="IA33" s="168"/>
      <c r="IB33" s="168"/>
      <c r="IC33" s="168"/>
      <c r="ID33" s="168"/>
      <c r="IE33" s="168"/>
      <c r="IF33" s="168"/>
      <c r="IG33" s="168"/>
      <c r="IH33" s="168"/>
      <c r="II33" s="168"/>
      <c r="IJ33" s="168"/>
      <c r="IK33" s="168"/>
      <c r="IL33" s="168"/>
      <c r="IM33" s="168"/>
      <c r="IN33" s="168"/>
      <c r="IO33" s="168"/>
      <c r="IP33" s="168"/>
      <c r="IQ33" s="168"/>
      <c r="IR33" s="168"/>
      <c r="IS33" s="168"/>
      <c r="IT33" s="168"/>
      <c r="IU33" s="168"/>
      <c r="IV33" s="168"/>
      <c r="IW33" s="168"/>
      <c r="IX33" s="168"/>
      <c r="IY33" s="168"/>
      <c r="IZ33" s="168"/>
      <c r="JA33" s="168"/>
      <c r="JB33" s="168"/>
      <c r="JC33" s="168"/>
      <c r="JD33" s="168"/>
      <c r="JE33" s="168"/>
      <c r="JF33" s="168"/>
      <c r="JG33" s="168"/>
      <c r="JH33" s="168"/>
      <c r="JI33" s="168"/>
      <c r="JJ33" s="168"/>
      <c r="JK33" s="168"/>
      <c r="JL33" s="168"/>
      <c r="JM33" s="168"/>
      <c r="JN33" s="168"/>
      <c r="JO33" s="168"/>
      <c r="JP33" s="168"/>
      <c r="JQ33" s="168"/>
      <c r="JR33" s="168"/>
      <c r="JS33" s="168"/>
      <c r="JT33" s="168"/>
      <c r="JU33" s="168"/>
      <c r="JV33" s="168"/>
      <c r="JW33" s="168"/>
      <c r="JX33" s="168"/>
      <c r="JY33" s="168"/>
      <c r="JZ33" s="168"/>
      <c r="KA33" s="168"/>
      <c r="KB33" s="168"/>
      <c r="KC33" s="168"/>
      <c r="KD33" s="168"/>
      <c r="KE33" s="168"/>
      <c r="KF33" s="168"/>
      <c r="KG33" s="168"/>
      <c r="KH33" s="168"/>
      <c r="KI33" s="168"/>
      <c r="KJ33" s="168"/>
      <c r="KK33" s="168"/>
      <c r="KL33" s="168"/>
      <c r="KM33" s="168"/>
      <c r="KN33" s="168"/>
      <c r="KO33" s="168"/>
      <c r="KP33" s="168"/>
      <c r="KQ33" s="168"/>
      <c r="KR33" s="168"/>
      <c r="KS33" s="168"/>
      <c r="KT33" s="168"/>
      <c r="KU33" s="168"/>
      <c r="KV33" s="168"/>
      <c r="KW33" s="168"/>
      <c r="KX33" s="168"/>
      <c r="KY33" s="168"/>
      <c r="KZ33" s="168"/>
      <c r="LA33" s="168"/>
      <c r="LB33" s="168"/>
      <c r="LC33" s="168"/>
      <c r="LD33" s="168"/>
      <c r="LE33" s="168"/>
      <c r="LF33" s="168"/>
      <c r="LG33" s="168"/>
      <c r="LH33" s="168"/>
      <c r="LI33" s="168"/>
      <c r="LJ33" s="168"/>
      <c r="LK33" s="168"/>
      <c r="LL33" s="168"/>
      <c r="LM33" s="168"/>
      <c r="LN33" s="168"/>
      <c r="LO33" s="168"/>
      <c r="LP33" s="168"/>
      <c r="LQ33" s="168"/>
      <c r="LR33" s="168"/>
      <c r="LS33" s="168"/>
      <c r="LT33" s="168"/>
      <c r="LU33" s="168"/>
      <c r="LV33" s="168"/>
      <c r="LW33" s="168"/>
      <c r="LX33" s="168"/>
      <c r="LY33" s="168"/>
      <c r="LZ33" s="168"/>
      <c r="MA33" s="168"/>
      <c r="MB33" s="168"/>
      <c r="MC33" s="168"/>
      <c r="MD33" s="168"/>
      <c r="ME33" s="168"/>
      <c r="MF33" s="168"/>
      <c r="MG33" s="168"/>
      <c r="MH33" s="168"/>
      <c r="MI33" s="168"/>
      <c r="MJ33" s="168"/>
      <c r="MK33" s="168"/>
      <c r="ML33" s="168"/>
      <c r="MM33" s="168"/>
      <c r="MN33" s="168"/>
      <c r="MO33" s="168"/>
      <c r="MP33" s="168"/>
      <c r="MQ33" s="168"/>
      <c r="MR33" s="168"/>
      <c r="MS33" s="168"/>
      <c r="MT33" s="168"/>
      <c r="MU33" s="168"/>
      <c r="MV33" s="168"/>
      <c r="MW33" s="168"/>
      <c r="MX33" s="168"/>
      <c r="MY33" s="168"/>
      <c r="MZ33" s="168"/>
      <c r="NA33" s="168"/>
      <c r="NB33" s="168"/>
      <c r="NC33" s="168"/>
      <c r="ND33" s="168"/>
      <c r="NE33" s="168"/>
      <c r="NF33" s="168"/>
      <c r="NG33" s="168"/>
      <c r="NH33" s="168"/>
      <c r="NI33" s="168"/>
      <c r="NJ33" s="168"/>
      <c r="NK33" s="168"/>
      <c r="NL33" s="168"/>
      <c r="NM33" s="168"/>
      <c r="NN33" s="168"/>
      <c r="NO33" s="168"/>
      <c r="NP33" s="168"/>
      <c r="NQ33" s="168"/>
      <c r="NR33" s="168"/>
      <c r="NS33" s="168"/>
      <c r="NT33" s="168"/>
      <c r="NU33" s="168"/>
      <c r="NV33" s="168"/>
      <c r="NW33" s="168"/>
      <c r="NX33" s="168"/>
      <c r="NY33" s="168"/>
      <c r="NZ33" s="168"/>
      <c r="OA33" s="168"/>
      <c r="OB33" s="168"/>
      <c r="OC33" s="168"/>
      <c r="OD33" s="168"/>
    </row>
    <row r="34" spans="1:394" s="19" customFormat="1" ht="14.5">
      <c r="A34" s="281">
        <v>8</v>
      </c>
      <c r="B34" s="292" t="s">
        <v>271</v>
      </c>
      <c r="C34" s="116"/>
      <c r="D34" s="117" t="s">
        <v>272</v>
      </c>
      <c r="E34" s="118"/>
      <c r="F34" s="119"/>
      <c r="G34" s="116"/>
      <c r="H34" s="118"/>
      <c r="I34" s="178"/>
      <c r="J34" s="179"/>
      <c r="K34" s="179"/>
      <c r="L34" s="180"/>
      <c r="M34" s="181"/>
    </row>
    <row r="35" spans="1:394" s="19" customFormat="1">
      <c r="A35" s="282"/>
      <c r="B35" s="293"/>
      <c r="C35" s="80" t="s">
        <v>273</v>
      </c>
      <c r="D35" s="120"/>
      <c r="E35" s="121"/>
      <c r="F35" s="122">
        <v>0.8</v>
      </c>
      <c r="G35" s="59">
        <v>0.2</v>
      </c>
      <c r="H35" s="121">
        <f t="shared" ref="H35" si="2">ROUND(IF(D35&lt;=800,0,IF(D35&lt;=3360,(D35-800)/4,IF(D35&lt;=21000,0.16*D35/0.84,IF(D35&lt;=49500,(0.24*D35-2000)/0.76,(0.32*D35-7000)/0.68)))),2)</f>
        <v>0</v>
      </c>
      <c r="I35" s="182">
        <v>6600020002</v>
      </c>
      <c r="J35" s="183">
        <v>0</v>
      </c>
      <c r="K35" s="183">
        <f>H35-J35</f>
        <v>0</v>
      </c>
      <c r="L35" s="184"/>
      <c r="M35" s="185"/>
    </row>
    <row r="36" spans="1:394" s="19" customFormat="1" ht="14.5">
      <c r="A36" s="282"/>
      <c r="B36" s="293"/>
      <c r="C36" s="123" t="s">
        <v>274</v>
      </c>
      <c r="D36" s="120"/>
      <c r="E36" s="121"/>
      <c r="F36" s="122">
        <v>0.8</v>
      </c>
      <c r="G36" s="59">
        <v>0.2</v>
      </c>
      <c r="H36" s="121"/>
      <c r="I36" s="186"/>
      <c r="J36" s="187"/>
      <c r="K36" s="187"/>
      <c r="L36" s="188"/>
      <c r="M36" s="185"/>
    </row>
    <row r="37" spans="1:394" s="19" customFormat="1" ht="14.5">
      <c r="A37" s="283"/>
      <c r="B37" s="294"/>
      <c r="C37" s="123" t="s">
        <v>275</v>
      </c>
      <c r="D37" s="124"/>
      <c r="E37" s="121"/>
      <c r="F37" s="125">
        <v>0.8</v>
      </c>
      <c r="G37" s="126">
        <v>0.2</v>
      </c>
      <c r="H37" s="121"/>
      <c r="I37" s="186"/>
      <c r="J37" s="187"/>
      <c r="K37" s="187"/>
      <c r="L37" s="188"/>
      <c r="M37" s="185"/>
    </row>
    <row r="38" spans="1:394" s="19" customFormat="1" ht="30" customHeight="1">
      <c r="A38" s="127">
        <v>9</v>
      </c>
      <c r="B38" s="128" t="str">
        <f>B34</f>
        <v>个人所得税</v>
      </c>
      <c r="C38" s="129"/>
      <c r="D38" s="130"/>
      <c r="E38" s="131"/>
      <c r="F38" s="132"/>
      <c r="G38" s="133"/>
      <c r="H38" s="131">
        <f>SUM(H35:H37)</f>
        <v>0</v>
      </c>
      <c r="I38" s="189"/>
      <c r="J38" s="131"/>
      <c r="K38" s="131"/>
      <c r="L38" s="190"/>
      <c r="M38" s="185"/>
    </row>
    <row r="39" spans="1:394" s="19" customFormat="1" ht="31" customHeight="1">
      <c r="A39" s="127">
        <v>10</v>
      </c>
      <c r="B39" s="134" t="s">
        <v>276</v>
      </c>
      <c r="C39" s="129" t="s">
        <v>277</v>
      </c>
      <c r="D39" s="130" t="s">
        <v>278</v>
      </c>
      <c r="E39" s="131"/>
      <c r="F39" s="132"/>
      <c r="G39" s="133">
        <v>0.03</v>
      </c>
      <c r="H39" s="131">
        <f>E39*G39</f>
        <v>0</v>
      </c>
      <c r="I39" s="191"/>
      <c r="J39" s="191"/>
      <c r="K39" s="191"/>
      <c r="L39" s="192"/>
      <c r="M39" s="185"/>
    </row>
    <row r="40" spans="1:394" s="44" customFormat="1" ht="41.5" customHeight="1">
      <c r="A40" s="271" t="s">
        <v>381</v>
      </c>
      <c r="B40" s="272"/>
      <c r="C40" s="135"/>
      <c r="D40" s="136"/>
      <c r="E40" s="137"/>
      <c r="F40" s="135"/>
      <c r="G40" s="135"/>
      <c r="H40" s="138">
        <f>H16+H25+H28+H29+H30+H31+H32+H38+H39</f>
        <v>0</v>
      </c>
      <c r="I40" s="193"/>
      <c r="J40" s="138">
        <f>J16+J25+J28+J29+J30+J38</f>
        <v>0</v>
      </c>
      <c r="K40" s="138"/>
      <c r="L40" s="194"/>
      <c r="M40" s="19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  <c r="NC40" s="19"/>
      <c r="ND40" s="19"/>
      <c r="NE40" s="19"/>
      <c r="NF40" s="19"/>
      <c r="NG40" s="19"/>
      <c r="NH40" s="19"/>
      <c r="NI40" s="19"/>
      <c r="NJ40" s="19"/>
      <c r="NK40" s="19"/>
      <c r="NL40" s="19"/>
      <c r="NM40" s="19"/>
      <c r="NN40" s="19"/>
      <c r="NO40" s="19"/>
      <c r="NP40" s="19"/>
      <c r="NQ40" s="19"/>
      <c r="NR40" s="19"/>
      <c r="NS40" s="19"/>
      <c r="NT40" s="19"/>
      <c r="NU40" s="19"/>
      <c r="NV40" s="19"/>
      <c r="NW40" s="19"/>
      <c r="NX40" s="19"/>
      <c r="NY40" s="19"/>
      <c r="NZ40" s="19"/>
      <c r="OA40" s="19"/>
      <c r="OB40" s="19"/>
      <c r="OC40" s="19"/>
      <c r="OD40" s="19"/>
    </row>
    <row r="41" spans="1:394">
      <c r="A41" s="139"/>
      <c r="B41" s="139"/>
      <c r="C41" s="139"/>
      <c r="D41" s="139"/>
      <c r="E41" s="139"/>
      <c r="F41" s="139"/>
      <c r="G41" s="139"/>
      <c r="H41" s="140"/>
      <c r="I41" s="140"/>
      <c r="J41" s="140"/>
      <c r="K41" s="140"/>
      <c r="L41" s="139"/>
    </row>
    <row r="42" spans="1:394">
      <c r="A42" s="139"/>
      <c r="B42" s="139"/>
      <c r="C42" s="139"/>
      <c r="D42" s="139"/>
      <c r="E42" s="141"/>
      <c r="F42" s="139"/>
      <c r="G42" s="139"/>
      <c r="H42" s="140"/>
      <c r="I42" s="140"/>
      <c r="J42" s="140"/>
      <c r="K42" s="140"/>
      <c r="L42" s="139"/>
    </row>
    <row r="43" spans="1:394">
      <c r="A43" s="139"/>
      <c r="B43" s="142"/>
      <c r="C43" s="139"/>
      <c r="D43" s="139"/>
      <c r="E43" s="139"/>
      <c r="F43" s="139"/>
      <c r="G43" s="139"/>
      <c r="H43" s="140"/>
      <c r="I43" s="140"/>
      <c r="J43" s="140"/>
      <c r="K43" s="140"/>
      <c r="L43" s="139"/>
    </row>
    <row r="44" spans="1:394">
      <c r="A44" s="139"/>
      <c r="B44" s="139"/>
      <c r="C44" s="139"/>
      <c r="D44" s="139"/>
      <c r="E44" s="139"/>
      <c r="F44" s="139"/>
      <c r="G44" s="139"/>
      <c r="H44" s="143"/>
      <c r="I44" s="140"/>
      <c r="J44" s="140"/>
      <c r="K44" s="140"/>
      <c r="L44" s="139"/>
    </row>
    <row r="45" spans="1:394" ht="15.75" customHeight="1">
      <c r="A45" s="139"/>
      <c r="B45" s="139"/>
      <c r="C45" s="139"/>
      <c r="D45" s="139"/>
      <c r="E45" s="139"/>
      <c r="F45" s="139"/>
      <c r="G45" s="143"/>
      <c r="H45" s="140"/>
      <c r="I45" s="140"/>
      <c r="J45" s="140"/>
      <c r="K45" s="140"/>
      <c r="L45" s="139"/>
    </row>
    <row r="46" spans="1:394" ht="29.25" customHeight="1">
      <c r="A46" s="139"/>
      <c r="B46" s="139"/>
      <c r="C46" s="139"/>
      <c r="D46" s="139"/>
      <c r="E46" s="139"/>
      <c r="F46" s="139"/>
      <c r="G46" s="143"/>
      <c r="H46" s="140"/>
      <c r="I46" s="140"/>
      <c r="J46" s="140"/>
      <c r="K46" s="140"/>
      <c r="L46" s="143"/>
    </row>
    <row r="47" spans="1:394">
      <c r="A47" s="139"/>
      <c r="B47" s="139"/>
      <c r="C47" s="139"/>
      <c r="D47" s="139"/>
      <c r="E47" s="139"/>
      <c r="F47" s="139"/>
      <c r="G47" s="143"/>
      <c r="H47" s="140"/>
      <c r="I47" s="140"/>
      <c r="J47" s="140"/>
      <c r="K47" s="140"/>
      <c r="L47" s="139"/>
    </row>
    <row r="48" spans="1:394">
      <c r="A48" s="139"/>
      <c r="B48" s="139"/>
      <c r="C48" s="139"/>
      <c r="D48" s="139"/>
      <c r="E48" s="139"/>
      <c r="F48" s="139"/>
      <c r="G48" s="139"/>
      <c r="H48" s="140"/>
      <c r="I48" s="140"/>
      <c r="J48" s="140"/>
      <c r="K48" s="140"/>
      <c r="L48" s="139"/>
    </row>
  </sheetData>
  <mergeCells count="15">
    <mergeCell ref="A1:M1"/>
    <mergeCell ref="H2:M2"/>
    <mergeCell ref="A40:B40"/>
    <mergeCell ref="A4:A15"/>
    <mergeCell ref="A18:A24"/>
    <mergeCell ref="A26:A27"/>
    <mergeCell ref="A31:A32"/>
    <mergeCell ref="A34:A37"/>
    <mergeCell ref="B4:B15"/>
    <mergeCell ref="B18:B24"/>
    <mergeCell ref="B26:B27"/>
    <mergeCell ref="B31:B32"/>
    <mergeCell ref="B34:B37"/>
    <mergeCell ref="D5:D15"/>
    <mergeCell ref="D31:D32"/>
  </mergeCells>
  <phoneticPr fontId="62" type="noConversion"/>
  <dataValidations count="2">
    <dataValidation type="list" showInputMessage="1" showErrorMessage="1" sqref="D27" xr:uid="{00000000-0002-0000-0600-000000000000}">
      <formula1>"减免期,减半期，"</formula1>
    </dataValidation>
    <dataValidation type="list" allowBlank="1" showInputMessage="1" showErrorMessage="1" sqref="G18:G21" xr:uid="{00000000-0002-0000-0600-000001000000}">
      <formula1>$R$22:$R$22</formula1>
    </dataValidation>
  </dataValidations>
  <pageMargins left="0.7" right="0.7" top="0.75" bottom="0.75" header="0.3" footer="0.3"/>
  <pageSetup paperSize="9" scale="38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I8:J8"/>
  <sheetViews>
    <sheetView zoomScale="55" zoomScaleNormal="55" workbookViewId="0">
      <selection activeCell="S56" sqref="S56"/>
    </sheetView>
  </sheetViews>
  <sheetFormatPr defaultColWidth="9" defaultRowHeight="14"/>
  <sheetData>
    <row r="8" spans="9:10">
      <c r="I8" s="45"/>
      <c r="J8" s="45"/>
    </row>
  </sheetData>
  <phoneticPr fontId="62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S21"/>
  <sheetViews>
    <sheetView topLeftCell="A10" zoomScale="60" zoomScaleNormal="60" workbookViewId="0">
      <selection activeCell="AA29" sqref="AA29"/>
    </sheetView>
  </sheetViews>
  <sheetFormatPr defaultColWidth="9" defaultRowHeight="14"/>
  <cols>
    <col min="1" max="9" width="9" style="43"/>
    <col min="10" max="10" width="9.4140625" style="43"/>
    <col min="11" max="11" width="15" style="43" customWidth="1"/>
    <col min="12" max="12" width="15.83203125" style="43" customWidth="1"/>
    <col min="13" max="13" width="19.5" style="43" customWidth="1"/>
    <col min="14" max="16384" width="9" style="43"/>
  </cols>
  <sheetData>
    <row r="1" spans="1:19">
      <c r="A1" s="299" t="s">
        <v>279</v>
      </c>
      <c r="B1" s="299" t="s">
        <v>279</v>
      </c>
      <c r="C1" s="299" t="s">
        <v>279</v>
      </c>
      <c r="D1" s="299" t="s">
        <v>279</v>
      </c>
      <c r="E1" s="299" t="s">
        <v>279</v>
      </c>
      <c r="F1" s="299" t="s">
        <v>279</v>
      </c>
      <c r="G1" s="299" t="s">
        <v>279</v>
      </c>
      <c r="H1" s="299" t="s">
        <v>279</v>
      </c>
      <c r="I1" s="299" t="s">
        <v>279</v>
      </c>
      <c r="J1" s="299" t="s">
        <v>279</v>
      </c>
      <c r="K1" s="299" t="s">
        <v>279</v>
      </c>
      <c r="L1" s="299" t="s">
        <v>279</v>
      </c>
      <c r="M1" s="299" t="s">
        <v>279</v>
      </c>
      <c r="N1" s="299" t="s">
        <v>279</v>
      </c>
      <c r="O1" s="299" t="s">
        <v>279</v>
      </c>
      <c r="P1" s="299" t="s">
        <v>279</v>
      </c>
      <c r="Q1" s="299" t="s">
        <v>279</v>
      </c>
      <c r="R1" s="299" t="s">
        <v>279</v>
      </c>
      <c r="S1" s="299" t="s">
        <v>279</v>
      </c>
    </row>
    <row r="2" spans="1:19">
      <c r="A2" s="19" t="s">
        <v>280</v>
      </c>
      <c r="B2" s="19" t="s">
        <v>281</v>
      </c>
      <c r="C2" s="19"/>
      <c r="D2" s="19"/>
      <c r="E2" s="19" t="s">
        <v>282</v>
      </c>
      <c r="F2" s="19" t="s">
        <v>444</v>
      </c>
      <c r="G2" s="19"/>
      <c r="H2" s="19" t="s">
        <v>283</v>
      </c>
      <c r="I2" s="19" t="s">
        <v>284</v>
      </c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ht="52.5">
      <c r="A3" s="264" t="s">
        <v>165</v>
      </c>
      <c r="B3" s="264" t="s">
        <v>285</v>
      </c>
      <c r="C3" s="264" t="s">
        <v>286</v>
      </c>
      <c r="D3" s="264" t="s">
        <v>287</v>
      </c>
      <c r="E3" s="264" t="s">
        <v>288</v>
      </c>
      <c r="F3" s="264" t="s">
        <v>289</v>
      </c>
      <c r="G3" s="264" t="s">
        <v>290</v>
      </c>
      <c r="H3" s="264" t="s">
        <v>291</v>
      </c>
      <c r="I3" s="264" t="s">
        <v>292</v>
      </c>
      <c r="J3" s="264" t="s">
        <v>293</v>
      </c>
      <c r="K3" s="264" t="s">
        <v>278</v>
      </c>
      <c r="L3" s="264" t="s">
        <v>294</v>
      </c>
      <c r="M3" s="264" t="s">
        <v>295</v>
      </c>
      <c r="N3" s="264" t="s">
        <v>296</v>
      </c>
      <c r="O3" s="264" t="s">
        <v>297</v>
      </c>
      <c r="P3" s="264" t="s">
        <v>298</v>
      </c>
      <c r="Q3" s="264" t="s">
        <v>299</v>
      </c>
      <c r="R3" s="264" t="s">
        <v>300</v>
      </c>
      <c r="S3" s="264" t="s">
        <v>301</v>
      </c>
    </row>
    <row r="4" spans="1:19">
      <c r="A4" s="19" t="s">
        <v>302</v>
      </c>
      <c r="B4" s="19" t="s">
        <v>303</v>
      </c>
      <c r="C4" s="19" t="s">
        <v>304</v>
      </c>
      <c r="D4" s="19" t="s">
        <v>147</v>
      </c>
      <c r="E4" s="19" t="s">
        <v>445</v>
      </c>
      <c r="F4" s="19"/>
      <c r="G4" s="19"/>
      <c r="H4" s="19" t="s">
        <v>446</v>
      </c>
      <c r="I4" s="19" t="s">
        <v>305</v>
      </c>
      <c r="J4" s="19" t="s">
        <v>306</v>
      </c>
      <c r="K4" s="19">
        <v>5258.48</v>
      </c>
      <c r="L4" s="19">
        <v>315.51</v>
      </c>
      <c r="M4" s="19">
        <v>315.51</v>
      </c>
      <c r="N4" s="19" t="s">
        <v>307</v>
      </c>
      <c r="O4" s="19" t="s">
        <v>308</v>
      </c>
      <c r="P4" s="19" t="s">
        <v>309</v>
      </c>
      <c r="Q4" s="19" t="s">
        <v>447</v>
      </c>
      <c r="R4" s="19" t="s">
        <v>309</v>
      </c>
      <c r="S4" s="19" t="s">
        <v>310</v>
      </c>
    </row>
    <row r="5" spans="1:19">
      <c r="A5" s="19" t="s">
        <v>311</v>
      </c>
      <c r="B5" s="19" t="s">
        <v>303</v>
      </c>
      <c r="C5" s="19" t="s">
        <v>304</v>
      </c>
      <c r="D5" s="19" t="s">
        <v>147</v>
      </c>
      <c r="E5" s="19" t="s">
        <v>448</v>
      </c>
      <c r="F5" s="19"/>
      <c r="G5" s="19"/>
      <c r="H5" s="19" t="s">
        <v>446</v>
      </c>
      <c r="I5" s="19" t="s">
        <v>305</v>
      </c>
      <c r="J5" s="19" t="s">
        <v>306</v>
      </c>
      <c r="K5" s="19">
        <v>3662.71</v>
      </c>
      <c r="L5" s="19">
        <v>219.76</v>
      </c>
      <c r="M5" s="19">
        <v>219.76</v>
      </c>
      <c r="N5" s="19" t="s">
        <v>307</v>
      </c>
      <c r="O5" s="19" t="s">
        <v>308</v>
      </c>
      <c r="P5" s="19" t="s">
        <v>309</v>
      </c>
      <c r="Q5" s="19" t="s">
        <v>447</v>
      </c>
      <c r="R5" s="19" t="s">
        <v>309</v>
      </c>
      <c r="S5" s="19" t="s">
        <v>310</v>
      </c>
    </row>
    <row r="6" spans="1:19">
      <c r="A6" s="19" t="s">
        <v>312</v>
      </c>
      <c r="B6" s="19" t="s">
        <v>303</v>
      </c>
      <c r="C6" s="19" t="s">
        <v>304</v>
      </c>
      <c r="D6" s="19" t="s">
        <v>147</v>
      </c>
      <c r="E6" s="19" t="s">
        <v>449</v>
      </c>
      <c r="F6" s="19"/>
      <c r="G6" s="19"/>
      <c r="H6" s="19" t="s">
        <v>450</v>
      </c>
      <c r="I6" s="19" t="s">
        <v>451</v>
      </c>
      <c r="J6" s="19" t="s">
        <v>452</v>
      </c>
      <c r="K6" s="19">
        <v>302122.64</v>
      </c>
      <c r="L6" s="19">
        <v>18127.36</v>
      </c>
      <c r="M6" s="19">
        <v>18127.36</v>
      </c>
      <c r="N6" s="19" t="s">
        <v>307</v>
      </c>
      <c r="O6" s="19" t="s">
        <v>308</v>
      </c>
      <c r="P6" s="19" t="s">
        <v>309</v>
      </c>
      <c r="Q6" s="19" t="s">
        <v>447</v>
      </c>
      <c r="R6" s="19" t="s">
        <v>309</v>
      </c>
      <c r="S6" s="19" t="s">
        <v>310</v>
      </c>
    </row>
    <row r="7" spans="1:19">
      <c r="A7" s="19" t="s">
        <v>315</v>
      </c>
      <c r="B7" s="19" t="s">
        <v>303</v>
      </c>
      <c r="C7" s="19" t="s">
        <v>304</v>
      </c>
      <c r="D7" s="19" t="s">
        <v>147</v>
      </c>
      <c r="E7" s="19" t="s">
        <v>453</v>
      </c>
      <c r="F7" s="19"/>
      <c r="G7" s="19"/>
      <c r="H7" s="19" t="s">
        <v>454</v>
      </c>
      <c r="I7" s="19" t="s">
        <v>455</v>
      </c>
      <c r="J7" s="19" t="s">
        <v>456</v>
      </c>
      <c r="K7" s="19">
        <v>1029</v>
      </c>
      <c r="L7" s="19">
        <v>61.74</v>
      </c>
      <c r="M7" s="19">
        <v>61.74</v>
      </c>
      <c r="N7" s="19" t="s">
        <v>307</v>
      </c>
      <c r="O7" s="19" t="s">
        <v>308</v>
      </c>
      <c r="P7" s="19" t="s">
        <v>309</v>
      </c>
      <c r="Q7" s="19" t="s">
        <v>447</v>
      </c>
      <c r="R7" s="19" t="s">
        <v>309</v>
      </c>
      <c r="S7" s="19" t="s">
        <v>310</v>
      </c>
    </row>
    <row r="8" spans="1:19">
      <c r="A8" s="19" t="s">
        <v>316</v>
      </c>
      <c r="B8" s="19" t="s">
        <v>303</v>
      </c>
      <c r="C8" s="19" t="s">
        <v>304</v>
      </c>
      <c r="D8" s="19" t="s">
        <v>147</v>
      </c>
      <c r="E8" s="19" t="s">
        <v>439</v>
      </c>
      <c r="F8" s="19"/>
      <c r="G8" s="19"/>
      <c r="H8" s="19" t="s">
        <v>457</v>
      </c>
      <c r="I8" s="19" t="s">
        <v>313</v>
      </c>
      <c r="J8" s="19" t="s">
        <v>314</v>
      </c>
      <c r="K8" s="19">
        <v>3146.31</v>
      </c>
      <c r="L8" s="19">
        <v>188.78</v>
      </c>
      <c r="M8" s="19">
        <v>188.78</v>
      </c>
      <c r="N8" s="19" t="s">
        <v>307</v>
      </c>
      <c r="O8" s="19" t="s">
        <v>308</v>
      </c>
      <c r="P8" s="19" t="s">
        <v>309</v>
      </c>
      <c r="Q8" s="19" t="s">
        <v>447</v>
      </c>
      <c r="R8" s="19" t="s">
        <v>309</v>
      </c>
      <c r="S8" s="19" t="s">
        <v>310</v>
      </c>
    </row>
    <row r="9" spans="1:19">
      <c r="A9" s="19" t="s">
        <v>317</v>
      </c>
      <c r="B9" s="19" t="s">
        <v>303</v>
      </c>
      <c r="C9" s="19" t="s">
        <v>304</v>
      </c>
      <c r="D9" s="19" t="s">
        <v>147</v>
      </c>
      <c r="E9" s="19" t="s">
        <v>435</v>
      </c>
      <c r="F9" s="19"/>
      <c r="G9" s="19"/>
      <c r="H9" s="19" t="s">
        <v>458</v>
      </c>
      <c r="I9" s="19" t="s">
        <v>313</v>
      </c>
      <c r="J9" s="19" t="s">
        <v>314</v>
      </c>
      <c r="K9" s="19">
        <v>3751930.27</v>
      </c>
      <c r="L9" s="19">
        <v>225115.82</v>
      </c>
      <c r="M9" s="19">
        <v>225115.82</v>
      </c>
      <c r="N9" s="19" t="s">
        <v>307</v>
      </c>
      <c r="O9" s="19" t="s">
        <v>308</v>
      </c>
      <c r="P9" s="19" t="s">
        <v>309</v>
      </c>
      <c r="Q9" s="19" t="s">
        <v>447</v>
      </c>
      <c r="R9" s="19" t="s">
        <v>309</v>
      </c>
      <c r="S9" s="19" t="s">
        <v>310</v>
      </c>
    </row>
    <row r="10" spans="1:19">
      <c r="A10" s="19" t="s">
        <v>318</v>
      </c>
      <c r="B10" s="19" t="s">
        <v>303</v>
      </c>
      <c r="C10" s="19" t="s">
        <v>304</v>
      </c>
      <c r="D10" s="19" t="s">
        <v>147</v>
      </c>
      <c r="E10" s="19" t="s">
        <v>430</v>
      </c>
      <c r="F10" s="19"/>
      <c r="G10" s="19"/>
      <c r="H10" s="19" t="s">
        <v>459</v>
      </c>
      <c r="I10" s="19" t="s">
        <v>313</v>
      </c>
      <c r="J10" s="19" t="s">
        <v>314</v>
      </c>
      <c r="K10" s="19">
        <v>3279109.17</v>
      </c>
      <c r="L10" s="19">
        <v>196746.55</v>
      </c>
      <c r="M10" s="19">
        <v>196746.55</v>
      </c>
      <c r="N10" s="19" t="s">
        <v>307</v>
      </c>
      <c r="O10" s="19" t="s">
        <v>308</v>
      </c>
      <c r="P10" s="19" t="s">
        <v>309</v>
      </c>
      <c r="Q10" s="19" t="s">
        <v>447</v>
      </c>
      <c r="R10" s="19" t="s">
        <v>309</v>
      </c>
      <c r="S10" s="19" t="s">
        <v>310</v>
      </c>
    </row>
    <row r="11" spans="1:19">
      <c r="A11" s="19" t="s">
        <v>319</v>
      </c>
      <c r="B11" s="19" t="s">
        <v>303</v>
      </c>
      <c r="C11" s="19" t="s">
        <v>304</v>
      </c>
      <c r="D11" s="19" t="s">
        <v>147</v>
      </c>
      <c r="E11" s="19" t="s">
        <v>414</v>
      </c>
      <c r="F11" s="19"/>
      <c r="G11" s="19"/>
      <c r="H11" s="19" t="s">
        <v>460</v>
      </c>
      <c r="I11" s="19" t="s">
        <v>313</v>
      </c>
      <c r="J11" s="19" t="s">
        <v>314</v>
      </c>
      <c r="K11" s="19">
        <v>659376.66</v>
      </c>
      <c r="L11" s="19">
        <v>39562.6</v>
      </c>
      <c r="M11" s="19">
        <v>39562.6</v>
      </c>
      <c r="N11" s="19" t="s">
        <v>307</v>
      </c>
      <c r="O11" s="19" t="s">
        <v>308</v>
      </c>
      <c r="P11" s="19" t="s">
        <v>309</v>
      </c>
      <c r="Q11" s="19" t="s">
        <v>447</v>
      </c>
      <c r="R11" s="19" t="s">
        <v>309</v>
      </c>
      <c r="S11" s="19" t="s">
        <v>310</v>
      </c>
    </row>
    <row r="12" spans="1:19">
      <c r="A12" s="19" t="s">
        <v>320</v>
      </c>
      <c r="B12" s="19" t="s">
        <v>303</v>
      </c>
      <c r="C12" s="19" t="s">
        <v>304</v>
      </c>
      <c r="D12" s="19" t="s">
        <v>147</v>
      </c>
      <c r="E12" s="19" t="s">
        <v>426</v>
      </c>
      <c r="F12" s="19"/>
      <c r="G12" s="19"/>
      <c r="H12" s="19" t="s">
        <v>461</v>
      </c>
      <c r="I12" s="19" t="s">
        <v>313</v>
      </c>
      <c r="J12" s="19" t="s">
        <v>314</v>
      </c>
      <c r="K12" s="19">
        <v>19610225.760000002</v>
      </c>
      <c r="L12" s="19">
        <v>1176613.55</v>
      </c>
      <c r="M12" s="19">
        <v>1176613.55</v>
      </c>
      <c r="N12" s="19" t="s">
        <v>307</v>
      </c>
      <c r="O12" s="19" t="s">
        <v>308</v>
      </c>
      <c r="P12" s="19" t="s">
        <v>309</v>
      </c>
      <c r="Q12" s="19" t="s">
        <v>447</v>
      </c>
      <c r="R12" s="19" t="s">
        <v>309</v>
      </c>
      <c r="S12" s="19" t="s">
        <v>310</v>
      </c>
    </row>
    <row r="13" spans="1:19">
      <c r="A13" s="19" t="s">
        <v>321</v>
      </c>
      <c r="B13" s="19" t="s">
        <v>303</v>
      </c>
      <c r="C13" s="19" t="s">
        <v>304</v>
      </c>
      <c r="D13" s="19" t="s">
        <v>147</v>
      </c>
      <c r="E13" s="19" t="s">
        <v>422</v>
      </c>
      <c r="F13" s="19"/>
      <c r="G13" s="19"/>
      <c r="H13" s="19" t="s">
        <v>462</v>
      </c>
      <c r="I13" s="19" t="s">
        <v>313</v>
      </c>
      <c r="J13" s="19" t="s">
        <v>314</v>
      </c>
      <c r="K13" s="19">
        <v>176262.64</v>
      </c>
      <c r="L13" s="19">
        <v>10575.76</v>
      </c>
      <c r="M13" s="19">
        <v>10575.76</v>
      </c>
      <c r="N13" s="19" t="s">
        <v>307</v>
      </c>
      <c r="O13" s="19" t="s">
        <v>308</v>
      </c>
      <c r="P13" s="19" t="s">
        <v>309</v>
      </c>
      <c r="Q13" s="19" t="s">
        <v>447</v>
      </c>
      <c r="R13" s="19" t="s">
        <v>309</v>
      </c>
      <c r="S13" s="19" t="s">
        <v>310</v>
      </c>
    </row>
    <row r="14" spans="1:19">
      <c r="A14" s="19" t="s">
        <v>322</v>
      </c>
      <c r="B14" s="19" t="s">
        <v>303</v>
      </c>
      <c r="C14" s="19" t="s">
        <v>304</v>
      </c>
      <c r="D14" s="19" t="s">
        <v>147</v>
      </c>
      <c r="E14" s="19" t="s">
        <v>418</v>
      </c>
      <c r="F14" s="19"/>
      <c r="G14" s="19"/>
      <c r="H14" s="19" t="s">
        <v>463</v>
      </c>
      <c r="I14" s="19" t="s">
        <v>313</v>
      </c>
      <c r="J14" s="19" t="s">
        <v>314</v>
      </c>
      <c r="K14" s="19">
        <v>173476.41</v>
      </c>
      <c r="L14" s="19">
        <v>10408.58</v>
      </c>
      <c r="M14" s="19">
        <v>10408.58</v>
      </c>
      <c r="N14" s="19" t="s">
        <v>307</v>
      </c>
      <c r="O14" s="19" t="s">
        <v>308</v>
      </c>
      <c r="P14" s="19" t="s">
        <v>309</v>
      </c>
      <c r="Q14" s="19" t="s">
        <v>447</v>
      </c>
      <c r="R14" s="19" t="s">
        <v>309</v>
      </c>
      <c r="S14" s="19" t="s">
        <v>310</v>
      </c>
    </row>
    <row r="15" spans="1:19">
      <c r="A15" s="19" t="s">
        <v>323</v>
      </c>
      <c r="B15" s="19" t="s">
        <v>303</v>
      </c>
      <c r="C15" s="19" t="s">
        <v>304</v>
      </c>
      <c r="D15" s="19" t="s">
        <v>147</v>
      </c>
      <c r="E15" s="19" t="s">
        <v>464</v>
      </c>
      <c r="F15" s="19"/>
      <c r="G15" s="19"/>
      <c r="H15" s="19" t="s">
        <v>465</v>
      </c>
      <c r="I15" s="19" t="s">
        <v>313</v>
      </c>
      <c r="J15" s="19" t="s">
        <v>314</v>
      </c>
      <c r="K15" s="19">
        <v>859805.82</v>
      </c>
      <c r="L15" s="19">
        <v>77382.52</v>
      </c>
      <c r="M15" s="19">
        <v>77382.52</v>
      </c>
      <c r="N15" s="19" t="s">
        <v>307</v>
      </c>
      <c r="O15" s="19" t="s">
        <v>308</v>
      </c>
      <c r="P15" s="19" t="s">
        <v>309</v>
      </c>
      <c r="Q15" s="19" t="s">
        <v>447</v>
      </c>
      <c r="R15" s="19" t="s">
        <v>309</v>
      </c>
      <c r="S15" s="19" t="s">
        <v>310</v>
      </c>
    </row>
    <row r="16" spans="1:19">
      <c r="A16" s="19" t="s">
        <v>324</v>
      </c>
      <c r="B16" s="19" t="s">
        <v>303</v>
      </c>
      <c r="C16" s="19" t="s">
        <v>304</v>
      </c>
      <c r="D16" s="19" t="s">
        <v>147</v>
      </c>
      <c r="E16" s="19" t="s">
        <v>466</v>
      </c>
      <c r="F16" s="19"/>
      <c r="G16" s="19"/>
      <c r="H16" s="19" t="s">
        <v>467</v>
      </c>
      <c r="I16" s="19" t="s">
        <v>313</v>
      </c>
      <c r="J16" s="19" t="s">
        <v>314</v>
      </c>
      <c r="K16" s="19">
        <v>85445.66</v>
      </c>
      <c r="L16" s="19">
        <v>5126.74</v>
      </c>
      <c r="M16" s="19">
        <v>5126.74</v>
      </c>
      <c r="N16" s="19" t="s">
        <v>307</v>
      </c>
      <c r="O16" s="19" t="s">
        <v>308</v>
      </c>
      <c r="P16" s="19" t="s">
        <v>309</v>
      </c>
      <c r="Q16" s="19" t="s">
        <v>447</v>
      </c>
      <c r="R16" s="19" t="s">
        <v>309</v>
      </c>
      <c r="S16" s="19" t="s">
        <v>310</v>
      </c>
    </row>
    <row r="17" spans="1:19">
      <c r="A17" s="19" t="s">
        <v>325</v>
      </c>
      <c r="B17" s="19" t="s">
        <v>303</v>
      </c>
      <c r="C17" s="19" t="s">
        <v>304</v>
      </c>
      <c r="D17" s="19" t="s">
        <v>147</v>
      </c>
      <c r="E17" s="19" t="s">
        <v>468</v>
      </c>
      <c r="F17" s="19"/>
      <c r="G17" s="19"/>
      <c r="H17" s="19" t="s">
        <v>469</v>
      </c>
      <c r="I17" s="19" t="s">
        <v>313</v>
      </c>
      <c r="J17" s="19" t="s">
        <v>314</v>
      </c>
      <c r="K17" s="19">
        <v>3325.24</v>
      </c>
      <c r="L17" s="19">
        <v>199.51</v>
      </c>
      <c r="M17" s="19">
        <v>199.51</v>
      </c>
      <c r="N17" s="19" t="s">
        <v>307</v>
      </c>
      <c r="O17" s="19" t="s">
        <v>308</v>
      </c>
      <c r="P17" s="19" t="s">
        <v>309</v>
      </c>
      <c r="Q17" s="19" t="s">
        <v>447</v>
      </c>
      <c r="R17" s="19" t="s">
        <v>309</v>
      </c>
      <c r="S17" s="19" t="s">
        <v>310</v>
      </c>
    </row>
    <row r="18" spans="1:19">
      <c r="A18" s="19" t="s">
        <v>326</v>
      </c>
      <c r="B18" s="19" t="s">
        <v>303</v>
      </c>
      <c r="C18" s="19" t="s">
        <v>304</v>
      </c>
      <c r="D18" s="19" t="s">
        <v>147</v>
      </c>
      <c r="E18" s="19" t="s">
        <v>470</v>
      </c>
      <c r="F18" s="19"/>
      <c r="G18" s="19"/>
      <c r="H18" s="19" t="s">
        <v>471</v>
      </c>
      <c r="I18" s="19" t="s">
        <v>328</v>
      </c>
      <c r="J18" s="19" t="s">
        <v>329</v>
      </c>
      <c r="K18" s="19">
        <v>8932.74</v>
      </c>
      <c r="L18" s="19">
        <v>1161.26</v>
      </c>
      <c r="M18" s="19">
        <v>1161.26</v>
      </c>
      <c r="N18" s="19" t="s">
        <v>307</v>
      </c>
      <c r="O18" s="19" t="s">
        <v>308</v>
      </c>
      <c r="P18" s="19" t="s">
        <v>309</v>
      </c>
      <c r="Q18" s="19" t="s">
        <v>447</v>
      </c>
      <c r="R18" s="19" t="s">
        <v>309</v>
      </c>
      <c r="S18" s="19" t="s">
        <v>310</v>
      </c>
    </row>
    <row r="19" spans="1:19">
      <c r="A19" s="19" t="s">
        <v>327</v>
      </c>
      <c r="B19" s="19" t="s">
        <v>303</v>
      </c>
      <c r="C19" s="19" t="s">
        <v>304</v>
      </c>
      <c r="D19" s="19" t="s">
        <v>147</v>
      </c>
      <c r="E19" s="19" t="s">
        <v>472</v>
      </c>
      <c r="F19" s="19"/>
      <c r="G19" s="19"/>
      <c r="H19" s="19" t="s">
        <v>473</v>
      </c>
      <c r="I19" s="19" t="s">
        <v>328</v>
      </c>
      <c r="J19" s="19" t="s">
        <v>329</v>
      </c>
      <c r="K19" s="19">
        <v>4466.37</v>
      </c>
      <c r="L19" s="19">
        <v>580.63</v>
      </c>
      <c r="M19" s="19">
        <v>580.63</v>
      </c>
      <c r="N19" s="19" t="s">
        <v>307</v>
      </c>
      <c r="O19" s="19" t="s">
        <v>308</v>
      </c>
      <c r="P19" s="19" t="s">
        <v>309</v>
      </c>
      <c r="Q19" s="19" t="s">
        <v>447</v>
      </c>
      <c r="R19" s="19" t="s">
        <v>309</v>
      </c>
      <c r="S19" s="19" t="s">
        <v>310</v>
      </c>
    </row>
    <row r="20" spans="1:19">
      <c r="A20" s="19" t="s">
        <v>190</v>
      </c>
      <c r="B20" s="19"/>
      <c r="C20" s="19"/>
      <c r="D20" s="19"/>
      <c r="E20" s="19"/>
      <c r="F20" s="19"/>
      <c r="G20" s="19"/>
      <c r="H20" s="19"/>
      <c r="I20" s="19"/>
      <c r="J20" s="19"/>
      <c r="K20" s="44">
        <v>28927575.879999999</v>
      </c>
      <c r="L20" s="44">
        <v>1762386.67</v>
      </c>
      <c r="M20" s="44">
        <v>1762386.67</v>
      </c>
      <c r="N20" s="19"/>
      <c r="O20" s="19"/>
      <c r="P20" s="19"/>
      <c r="Q20" s="19"/>
      <c r="R20" s="19"/>
      <c r="S20" s="19"/>
    </row>
    <row r="21" spans="1:19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</sheetData>
  <mergeCells count="1">
    <mergeCell ref="A1:S1"/>
  </mergeCells>
  <phoneticPr fontId="62" type="noConversion"/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B1:F13"/>
  <sheetViews>
    <sheetView topLeftCell="A4" workbookViewId="0">
      <selection activeCell="I22" sqref="I22"/>
    </sheetView>
  </sheetViews>
  <sheetFormatPr defaultColWidth="9" defaultRowHeight="14"/>
  <cols>
    <col min="2" max="2" width="29.08203125" customWidth="1"/>
    <col min="3" max="3" width="12.58203125" style="30" customWidth="1"/>
    <col min="4" max="4" width="14" style="30" customWidth="1"/>
    <col min="5" max="5" width="15" style="30" customWidth="1"/>
    <col min="6" max="6" width="15.1640625" style="30" customWidth="1"/>
    <col min="8" max="8" width="24.1640625" customWidth="1"/>
    <col min="10" max="10" width="10.5"/>
  </cols>
  <sheetData>
    <row r="1" spans="2:6">
      <c r="B1" s="31"/>
      <c r="C1" s="32" t="s">
        <v>330</v>
      </c>
      <c r="D1" s="32" t="s">
        <v>331</v>
      </c>
      <c r="E1" s="32" t="s">
        <v>332</v>
      </c>
      <c r="F1" s="33" t="s">
        <v>190</v>
      </c>
    </row>
    <row r="2" spans="2:6">
      <c r="B2" s="34" t="s">
        <v>333</v>
      </c>
      <c r="C2" s="35">
        <v>0</v>
      </c>
      <c r="D2" s="35">
        <f>'Ref 2_202510增值税销项 （样式）'!I8</f>
        <v>0</v>
      </c>
      <c r="E2" s="36">
        <v>0</v>
      </c>
      <c r="F2" s="37">
        <f>C2+D2+E2</f>
        <v>0</v>
      </c>
    </row>
    <row r="3" spans="2:6">
      <c r="B3" s="34" t="s">
        <v>334</v>
      </c>
      <c r="C3" s="38"/>
      <c r="D3" s="39"/>
      <c r="E3" s="39"/>
      <c r="F3" s="39">
        <f t="shared" ref="F3:F8" si="0">C3+D3+E3</f>
        <v>0</v>
      </c>
    </row>
    <row r="4" spans="2:6">
      <c r="B4" s="34" t="s">
        <v>335</v>
      </c>
      <c r="C4" s="38"/>
      <c r="D4" s="39"/>
      <c r="E4" s="39"/>
      <c r="F4" s="39">
        <f t="shared" si="0"/>
        <v>0</v>
      </c>
    </row>
    <row r="5" spans="2:6">
      <c r="B5" s="34" t="s">
        <v>336</v>
      </c>
      <c r="C5" s="38"/>
      <c r="D5" s="39"/>
      <c r="E5" s="39"/>
      <c r="F5" s="39">
        <f t="shared" si="0"/>
        <v>0</v>
      </c>
    </row>
    <row r="6" spans="2:6">
      <c r="B6" s="40"/>
      <c r="C6" s="38"/>
      <c r="D6" s="39"/>
      <c r="E6" s="39"/>
      <c r="F6" s="39">
        <f t="shared" si="0"/>
        <v>0</v>
      </c>
    </row>
    <row r="7" spans="2:6">
      <c r="B7" s="34" t="s">
        <v>337</v>
      </c>
      <c r="C7" s="37">
        <f>F7-D7</f>
        <v>0</v>
      </c>
      <c r="D7" s="37">
        <f>'Ref 2_202510增值税销项 （样式）'!J8</f>
        <v>0</v>
      </c>
      <c r="E7" s="37">
        <f t="shared" ref="E7" si="1">E2*13%+E3*2%+E4*6%+E5*6%</f>
        <v>0</v>
      </c>
      <c r="F7" s="37">
        <f>'Ref 2_202510增值税销项 （样式）'!J8</f>
        <v>0</v>
      </c>
    </row>
    <row r="8" spans="2:6">
      <c r="B8" s="41" t="s">
        <v>338</v>
      </c>
      <c r="C8" s="37"/>
      <c r="D8" s="39"/>
      <c r="E8" s="39"/>
      <c r="F8" s="37">
        <f t="shared" si="0"/>
        <v>0</v>
      </c>
    </row>
    <row r="9" spans="2:6">
      <c r="B9" s="34" t="s">
        <v>339</v>
      </c>
      <c r="C9" s="37"/>
      <c r="D9" s="39"/>
      <c r="E9" s="39"/>
      <c r="F9" s="37">
        <f>'Ref 3_202510增值税进项认证清单'!M20</f>
        <v>1762386.67</v>
      </c>
    </row>
    <row r="10" spans="2:6">
      <c r="B10" s="34" t="s">
        <v>340</v>
      </c>
      <c r="C10" s="37"/>
      <c r="D10" s="39"/>
      <c r="E10" s="39"/>
      <c r="F10" s="37">
        <v>946605.64</v>
      </c>
    </row>
    <row r="11" spans="2:6">
      <c r="B11" s="42" t="s">
        <v>478</v>
      </c>
      <c r="C11" s="37"/>
      <c r="D11" s="39"/>
      <c r="E11" s="39"/>
      <c r="F11" s="265">
        <v>1538561.49</v>
      </c>
    </row>
    <row r="12" spans="2:6">
      <c r="B12" s="42" t="s">
        <v>479</v>
      </c>
      <c r="C12" s="37"/>
      <c r="D12" s="37"/>
      <c r="E12" s="37"/>
      <c r="F12" s="37">
        <f>IF(F11+F9-F7-F10&gt;0,F11+F9-F7-F10,0)</f>
        <v>2354342.52</v>
      </c>
    </row>
    <row r="13" spans="2:6">
      <c r="B13" s="34" t="s">
        <v>341</v>
      </c>
      <c r="C13" s="39"/>
      <c r="D13" s="39"/>
      <c r="E13" s="39"/>
      <c r="F13" s="39">
        <f>IF(F12&gt;0,0,F7+F10-F9-F11)</f>
        <v>0</v>
      </c>
    </row>
  </sheetData>
  <phoneticPr fontId="62" type="noConversion"/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15"/>
  <sheetViews>
    <sheetView workbookViewId="0">
      <selection activeCell="L41" sqref="L41"/>
    </sheetView>
  </sheetViews>
  <sheetFormatPr defaultColWidth="9" defaultRowHeight="14"/>
  <cols>
    <col min="1" max="1" width="9" style="19"/>
    <col min="2" max="2" width="18.4140625" style="19" customWidth="1"/>
    <col min="3" max="5" width="9" style="19"/>
    <col min="6" max="6" width="17.33203125" style="19" customWidth="1"/>
    <col min="7" max="7" width="16.1640625" style="19" customWidth="1"/>
    <col min="8" max="16384" width="9" style="19"/>
  </cols>
  <sheetData>
    <row r="1" spans="1:9">
      <c r="A1" s="302" t="s">
        <v>162</v>
      </c>
      <c r="B1" s="300" t="s">
        <v>342</v>
      </c>
      <c r="C1" s="300"/>
      <c r="D1" s="300"/>
      <c r="E1" s="300"/>
      <c r="F1" s="300" t="s">
        <v>343</v>
      </c>
      <c r="G1" s="300"/>
      <c r="H1" s="300" t="s">
        <v>344</v>
      </c>
      <c r="I1" s="301"/>
    </row>
    <row r="2" spans="1:9">
      <c r="A2" s="303"/>
      <c r="B2" s="20" t="s">
        <v>345</v>
      </c>
      <c r="C2" s="20" t="s">
        <v>236</v>
      </c>
      <c r="D2" s="20" t="s">
        <v>102</v>
      </c>
      <c r="E2" s="20" t="s">
        <v>346</v>
      </c>
      <c r="F2" s="20" t="s">
        <v>347</v>
      </c>
      <c r="G2" s="20" t="s">
        <v>346</v>
      </c>
      <c r="H2" s="20" t="s">
        <v>347</v>
      </c>
      <c r="I2" s="27" t="s">
        <v>346</v>
      </c>
    </row>
    <row r="3" spans="1:9">
      <c r="A3" s="21" t="s">
        <v>348</v>
      </c>
      <c r="B3" s="22"/>
      <c r="C3" s="22"/>
      <c r="D3" s="22"/>
      <c r="E3" s="22"/>
      <c r="F3" s="22"/>
      <c r="G3" s="22"/>
      <c r="H3" s="22">
        <f t="shared" ref="H3:H14" si="0">B3+C3+D3-F3</f>
        <v>0</v>
      </c>
      <c r="I3" s="28">
        <f t="shared" ref="I3:I14" si="1">E3-G3</f>
        <v>0</v>
      </c>
    </row>
    <row r="4" spans="1:9">
      <c r="A4" s="21" t="s">
        <v>349</v>
      </c>
      <c r="B4" s="22"/>
      <c r="C4" s="22"/>
      <c r="D4" s="22"/>
      <c r="E4" s="22"/>
      <c r="F4" s="22"/>
      <c r="G4" s="22"/>
      <c r="H4" s="22">
        <f t="shared" si="0"/>
        <v>0</v>
      </c>
      <c r="I4" s="28">
        <f t="shared" si="1"/>
        <v>0</v>
      </c>
    </row>
    <row r="5" spans="1:9">
      <c r="A5" s="21" t="s">
        <v>350</v>
      </c>
      <c r="B5" s="23"/>
      <c r="C5" s="23"/>
      <c r="D5" s="23"/>
      <c r="E5" s="23"/>
      <c r="F5" s="23"/>
      <c r="G5" s="23"/>
      <c r="H5" s="22">
        <f t="shared" si="0"/>
        <v>0</v>
      </c>
      <c r="I5" s="28">
        <f t="shared" si="1"/>
        <v>0</v>
      </c>
    </row>
    <row r="6" spans="1:9">
      <c r="A6" s="21" t="s">
        <v>351</v>
      </c>
      <c r="B6" s="23"/>
      <c r="C6" s="23"/>
      <c r="D6" s="23"/>
      <c r="E6" s="23"/>
      <c r="F6" s="23"/>
      <c r="G6" s="23"/>
      <c r="H6" s="22">
        <f t="shared" si="0"/>
        <v>0</v>
      </c>
      <c r="I6" s="28">
        <f t="shared" si="1"/>
        <v>0</v>
      </c>
    </row>
    <row r="7" spans="1:9">
      <c r="A7" s="21" t="s">
        <v>352</v>
      </c>
      <c r="B7" s="23"/>
      <c r="C7" s="23"/>
      <c r="D7" s="23"/>
      <c r="E7" s="23"/>
      <c r="F7" s="23"/>
      <c r="G7" s="23"/>
      <c r="H7" s="22">
        <f t="shared" si="0"/>
        <v>0</v>
      </c>
      <c r="I7" s="28">
        <f t="shared" si="1"/>
        <v>0</v>
      </c>
    </row>
    <row r="8" spans="1:9">
      <c r="A8" s="21" t="s">
        <v>353</v>
      </c>
      <c r="B8" s="23"/>
      <c r="C8" s="23"/>
      <c r="D8" s="23"/>
      <c r="E8" s="23"/>
      <c r="F8" s="23"/>
      <c r="G8" s="23"/>
      <c r="H8" s="22">
        <f t="shared" si="0"/>
        <v>0</v>
      </c>
      <c r="I8" s="28">
        <f t="shared" si="1"/>
        <v>0</v>
      </c>
    </row>
    <row r="9" spans="1:9">
      <c r="A9" s="21" t="s">
        <v>354</v>
      </c>
      <c r="B9" s="23"/>
      <c r="C9" s="23"/>
      <c r="D9" s="23"/>
      <c r="E9" s="23"/>
      <c r="F9" s="23"/>
      <c r="G9" s="23"/>
      <c r="H9" s="22">
        <f t="shared" si="0"/>
        <v>0</v>
      </c>
      <c r="I9" s="28">
        <f t="shared" si="1"/>
        <v>0</v>
      </c>
    </row>
    <row r="10" spans="1:9">
      <c r="A10" s="21" t="s">
        <v>355</v>
      </c>
      <c r="B10" s="22">
        <v>0</v>
      </c>
      <c r="C10" s="22"/>
      <c r="D10" s="22"/>
      <c r="E10" s="22">
        <v>0</v>
      </c>
      <c r="F10" s="22">
        <v>0</v>
      </c>
      <c r="G10" s="22">
        <v>0</v>
      </c>
      <c r="H10" s="22">
        <f t="shared" si="0"/>
        <v>0</v>
      </c>
      <c r="I10" s="28">
        <f t="shared" si="1"/>
        <v>0</v>
      </c>
    </row>
    <row r="11" spans="1:9">
      <c r="A11" s="21" t="s">
        <v>356</v>
      </c>
      <c r="B11" s="22">
        <v>0</v>
      </c>
      <c r="C11" s="22"/>
      <c r="D11" s="22"/>
      <c r="E11" s="22">
        <v>0</v>
      </c>
      <c r="F11" s="22">
        <v>0</v>
      </c>
      <c r="G11" s="22">
        <v>0</v>
      </c>
      <c r="H11" s="22">
        <f t="shared" si="0"/>
        <v>0</v>
      </c>
      <c r="I11" s="28">
        <f t="shared" si="1"/>
        <v>0</v>
      </c>
    </row>
    <row r="12" spans="1:9">
      <c r="A12" s="21" t="s">
        <v>357</v>
      </c>
      <c r="B12" s="24">
        <v>0</v>
      </c>
      <c r="C12" s="22"/>
      <c r="D12" s="22"/>
      <c r="E12" s="24">
        <v>0</v>
      </c>
      <c r="F12" s="24">
        <v>0</v>
      </c>
      <c r="G12" s="24">
        <v>0</v>
      </c>
      <c r="H12" s="22">
        <f t="shared" si="0"/>
        <v>0</v>
      </c>
      <c r="I12" s="28">
        <f t="shared" si="1"/>
        <v>0</v>
      </c>
    </row>
    <row r="13" spans="1:9">
      <c r="A13" s="21" t="s">
        <v>358</v>
      </c>
      <c r="B13" s="24">
        <v>0</v>
      </c>
      <c r="C13" s="22"/>
      <c r="D13" s="22"/>
      <c r="E13" s="22">
        <v>0</v>
      </c>
      <c r="F13" s="22">
        <v>0</v>
      </c>
      <c r="G13" s="22">
        <v>0</v>
      </c>
      <c r="H13" s="22">
        <f t="shared" si="0"/>
        <v>0</v>
      </c>
      <c r="I13" s="28">
        <f t="shared" si="1"/>
        <v>0</v>
      </c>
    </row>
    <row r="14" spans="1:9">
      <c r="A14" s="21" t="s">
        <v>359</v>
      </c>
      <c r="B14" s="22">
        <v>0</v>
      </c>
      <c r="C14" s="22"/>
      <c r="D14" s="22"/>
      <c r="E14" s="22">
        <v>0</v>
      </c>
      <c r="F14" s="22">
        <v>0</v>
      </c>
      <c r="G14" s="22">
        <v>0</v>
      </c>
      <c r="H14" s="22">
        <f t="shared" si="0"/>
        <v>0</v>
      </c>
      <c r="I14" s="28">
        <f t="shared" si="1"/>
        <v>0</v>
      </c>
    </row>
    <row r="15" spans="1:9">
      <c r="A15" s="25" t="s">
        <v>360</v>
      </c>
      <c r="B15" s="26">
        <f t="shared" ref="B15:I15" si="2">SUM(B3:B14)</f>
        <v>0</v>
      </c>
      <c r="C15" s="26">
        <f t="shared" si="2"/>
        <v>0</v>
      </c>
      <c r="D15" s="26">
        <f t="shared" si="2"/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9">
        <f t="shared" si="2"/>
        <v>0</v>
      </c>
    </row>
  </sheetData>
  <mergeCells count="4">
    <mergeCell ref="B1:E1"/>
    <mergeCell ref="F1:G1"/>
    <mergeCell ref="H1:I1"/>
    <mergeCell ref="A1:A2"/>
  </mergeCells>
  <phoneticPr fontId="62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1:P16"/>
  <sheetViews>
    <sheetView zoomScale="85" zoomScaleNormal="85" workbookViewId="0">
      <selection activeCell="J12" sqref="J12"/>
    </sheetView>
  </sheetViews>
  <sheetFormatPr defaultColWidth="8.58203125" defaultRowHeight="14"/>
  <cols>
    <col min="1" max="1" width="4.75" style="2" customWidth="1"/>
    <col min="2" max="2" width="21.33203125" style="2" customWidth="1"/>
    <col min="3" max="3" width="11.08203125" style="2" customWidth="1"/>
    <col min="4" max="4" width="8.58203125" style="2"/>
    <col min="5" max="5" width="11.4140625" style="2" customWidth="1"/>
    <col min="6" max="6" width="9.75" style="2" customWidth="1"/>
    <col min="7" max="8" width="8.58203125" style="2"/>
    <col min="9" max="9" width="9" style="2" customWidth="1"/>
    <col min="10" max="10" width="13.33203125" style="2" customWidth="1"/>
    <col min="11" max="11" width="10.75" style="2" customWidth="1"/>
    <col min="12" max="12" width="8.58203125" style="2"/>
    <col min="13" max="13" width="10.75" style="2" customWidth="1"/>
    <col min="14" max="14" width="8.58203125" style="2"/>
    <col min="15" max="15" width="9.75" style="2" customWidth="1"/>
    <col min="16" max="16" width="11.08203125" style="2" customWidth="1"/>
    <col min="17" max="16384" width="8.58203125" style="2"/>
  </cols>
  <sheetData>
    <row r="1" spans="2:16">
      <c r="B1" s="304" t="s">
        <v>361</v>
      </c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</row>
    <row r="2" spans="2:16" ht="14.5">
      <c r="B2" s="305" t="s">
        <v>284</v>
      </c>
      <c r="C2" s="306"/>
      <c r="D2" s="306"/>
      <c r="E2" s="3"/>
      <c r="F2" s="3"/>
      <c r="G2" s="3"/>
      <c r="H2" s="3"/>
      <c r="I2" s="3"/>
      <c r="J2" s="3"/>
      <c r="K2" s="3"/>
      <c r="L2" s="3"/>
      <c r="M2" s="3" t="s">
        <v>362</v>
      </c>
      <c r="N2" s="3"/>
      <c r="O2" s="3"/>
      <c r="P2" s="11" t="s">
        <v>164</v>
      </c>
    </row>
    <row r="3" spans="2:16" ht="14.5">
      <c r="B3" s="4" t="s">
        <v>162</v>
      </c>
      <c r="C3" s="4" t="s">
        <v>363</v>
      </c>
      <c r="D3" s="5" t="s">
        <v>364</v>
      </c>
      <c r="E3" s="5" t="s">
        <v>365</v>
      </c>
      <c r="F3" s="5" t="s">
        <v>366</v>
      </c>
      <c r="G3" s="5" t="s">
        <v>367</v>
      </c>
      <c r="H3" s="5" t="s">
        <v>368</v>
      </c>
      <c r="I3" s="5" t="s">
        <v>271</v>
      </c>
      <c r="J3" s="5" t="s">
        <v>267</v>
      </c>
      <c r="K3" s="5" t="s">
        <v>369</v>
      </c>
      <c r="L3" s="5" t="s">
        <v>370</v>
      </c>
      <c r="M3" s="5" t="s">
        <v>270</v>
      </c>
      <c r="N3" s="5" t="s">
        <v>371</v>
      </c>
      <c r="O3" s="5" t="s">
        <v>276</v>
      </c>
      <c r="P3" s="12" t="s">
        <v>372</v>
      </c>
    </row>
    <row r="4" spans="2:16" ht="14.5">
      <c r="B4" s="6">
        <v>45658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>
        <f>SUM(C4:O4)</f>
        <v>0</v>
      </c>
    </row>
    <row r="5" spans="2:16" ht="14.5">
      <c r="B5" s="6">
        <v>45689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>
        <f t="shared" ref="P5:P16" si="0">SUM(C5:O5)</f>
        <v>0</v>
      </c>
    </row>
    <row r="6" spans="2:16" ht="14.5">
      <c r="B6" s="6">
        <v>45717</v>
      </c>
      <c r="C6" s="8"/>
      <c r="D6" s="7"/>
      <c r="E6" s="7"/>
      <c r="F6" s="7"/>
      <c r="G6" s="7"/>
      <c r="H6" s="7"/>
      <c r="I6" s="7"/>
      <c r="J6" s="7"/>
      <c r="K6" s="7"/>
      <c r="L6" s="7"/>
      <c r="M6" s="7"/>
      <c r="O6" s="7"/>
      <c r="P6" s="7">
        <f t="shared" si="0"/>
        <v>0</v>
      </c>
    </row>
    <row r="7" spans="2:16" ht="14.5">
      <c r="B7" s="6">
        <v>45748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>
        <f t="shared" si="0"/>
        <v>0</v>
      </c>
    </row>
    <row r="8" spans="2:16" ht="14.5">
      <c r="B8" s="6">
        <v>45778</v>
      </c>
      <c r="C8" s="7"/>
      <c r="D8" s="7"/>
      <c r="E8" s="7"/>
      <c r="F8" s="7"/>
      <c r="G8" s="7"/>
      <c r="H8" s="7"/>
      <c r="I8" s="7"/>
      <c r="J8" s="7">
        <v>940332.74</v>
      </c>
      <c r="K8" s="7"/>
      <c r="L8" s="7"/>
      <c r="M8" s="7"/>
      <c r="N8" s="7"/>
      <c r="O8" s="7"/>
      <c r="P8" s="7">
        <f t="shared" si="0"/>
        <v>940332.74</v>
      </c>
    </row>
    <row r="9" spans="2:16" ht="14.5">
      <c r="B9" s="6">
        <v>45809</v>
      </c>
      <c r="C9" s="7"/>
      <c r="D9" s="7"/>
      <c r="E9" s="7"/>
      <c r="F9" s="7">
        <v>3228.48</v>
      </c>
      <c r="G9" s="7"/>
      <c r="H9" s="7"/>
      <c r="I9" s="7"/>
      <c r="J9" s="7">
        <v>181710.37</v>
      </c>
      <c r="K9" s="7"/>
      <c r="L9" s="7"/>
      <c r="M9" s="7"/>
      <c r="N9" s="7"/>
      <c r="O9" s="7"/>
      <c r="P9" s="7">
        <f t="shared" si="0"/>
        <v>184938.85</v>
      </c>
    </row>
    <row r="10" spans="2:16" ht="14.5">
      <c r="B10" s="6">
        <v>45839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f t="shared" si="0"/>
        <v>0</v>
      </c>
    </row>
    <row r="11" spans="2:16" ht="14.5">
      <c r="B11" s="6">
        <v>45870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f t="shared" si="0"/>
        <v>0</v>
      </c>
    </row>
    <row r="12" spans="2:16" ht="14.5">
      <c r="B12" s="6">
        <v>45901</v>
      </c>
      <c r="C12" s="7"/>
      <c r="D12" s="7"/>
      <c r="E12" s="7"/>
      <c r="F12" s="7">
        <v>92857.994999999995</v>
      </c>
      <c r="G12" s="7"/>
      <c r="H12" s="7"/>
      <c r="I12" s="7"/>
      <c r="J12" s="7">
        <v>28031.06</v>
      </c>
      <c r="K12" s="7"/>
      <c r="L12" s="7"/>
      <c r="M12" s="7"/>
      <c r="N12" s="7"/>
      <c r="O12" s="7"/>
      <c r="P12" s="7">
        <f t="shared" si="0"/>
        <v>120889.05499999999</v>
      </c>
    </row>
    <row r="13" spans="2:16" ht="14.5">
      <c r="B13" s="6">
        <v>45931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>
        <f t="shared" si="0"/>
        <v>0</v>
      </c>
    </row>
    <row r="14" spans="2:16" ht="14.5">
      <c r="B14" s="6">
        <v>45962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>
        <f t="shared" si="0"/>
        <v>0</v>
      </c>
    </row>
    <row r="15" spans="2:16" ht="14.5">
      <c r="B15" s="6">
        <v>45992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f t="shared" si="0"/>
        <v>0</v>
      </c>
    </row>
    <row r="16" spans="2:16" ht="14.5">
      <c r="B16" s="10" t="s">
        <v>190</v>
      </c>
      <c r="C16" s="7">
        <f>SUM(C4:C15)</f>
        <v>0</v>
      </c>
      <c r="D16" s="7">
        <f t="shared" ref="D16:O16" si="1">SUM(D4:D15)</f>
        <v>0</v>
      </c>
      <c r="E16" s="7">
        <f t="shared" si="1"/>
        <v>0</v>
      </c>
      <c r="F16" s="7">
        <f t="shared" si="1"/>
        <v>96086.475000000006</v>
      </c>
      <c r="G16" s="7">
        <f t="shared" si="1"/>
        <v>0</v>
      </c>
      <c r="H16" s="7">
        <f t="shared" si="1"/>
        <v>0</v>
      </c>
      <c r="I16" s="7">
        <f t="shared" si="1"/>
        <v>0</v>
      </c>
      <c r="J16" s="7">
        <f t="shared" si="1"/>
        <v>1150074.17</v>
      </c>
      <c r="K16" s="7">
        <f t="shared" si="1"/>
        <v>0</v>
      </c>
      <c r="L16" s="7">
        <f t="shared" si="1"/>
        <v>0</v>
      </c>
      <c r="M16" s="7">
        <f t="shared" si="1"/>
        <v>0</v>
      </c>
      <c r="N16" s="7">
        <f t="shared" si="1"/>
        <v>0</v>
      </c>
      <c r="O16" s="7">
        <f t="shared" si="1"/>
        <v>0</v>
      </c>
      <c r="P16" s="7">
        <f t="shared" si="0"/>
        <v>1246160.645</v>
      </c>
    </row>
  </sheetData>
  <mergeCells count="2">
    <mergeCell ref="B1:P1"/>
    <mergeCell ref="B2:D2"/>
  </mergeCells>
  <phoneticPr fontId="6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S16"/>
  <sheetViews>
    <sheetView zoomScale="70" zoomScaleNormal="70" workbookViewId="0">
      <selection activeCell="U48" sqref="U48"/>
    </sheetView>
  </sheetViews>
  <sheetFormatPr defaultColWidth="8.58203125" defaultRowHeight="14"/>
  <cols>
    <col min="1" max="1" width="4.75" style="2" customWidth="1"/>
    <col min="2" max="2" width="19.08203125" style="2" customWidth="1"/>
    <col min="3" max="3" width="10.58203125" style="2" customWidth="1"/>
    <col min="4" max="5" width="8.75" style="2" customWidth="1"/>
    <col min="6" max="6" width="9.75" style="2" customWidth="1"/>
    <col min="7" max="8" width="8.75" style="2" customWidth="1"/>
    <col min="9" max="9" width="10" style="2" customWidth="1"/>
    <col min="10" max="10" width="14" style="2" customWidth="1"/>
    <col min="11" max="11" width="10.75" style="2" customWidth="1"/>
    <col min="12" max="12" width="11.75" style="2" customWidth="1"/>
    <col min="13" max="13" width="11.58203125" style="2" customWidth="1"/>
    <col min="14" max="14" width="8.75" style="2" customWidth="1"/>
    <col min="15" max="15" width="9.75" style="2" customWidth="1"/>
    <col min="16" max="17" width="11.25" style="2" customWidth="1"/>
    <col min="18" max="18" width="13.1640625" style="2" customWidth="1"/>
    <col min="19" max="19" width="16.4140625" style="2" customWidth="1"/>
    <col min="20" max="16384" width="8.58203125" style="2"/>
  </cols>
  <sheetData>
    <row r="1" spans="2:19" s="1" customFormat="1" ht="22.5" customHeight="1">
      <c r="B1" s="304" t="s">
        <v>373</v>
      </c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S1" s="13"/>
    </row>
    <row r="2" spans="2:19" s="1" customFormat="1" ht="18" customHeight="1">
      <c r="B2" s="305" t="s">
        <v>284</v>
      </c>
      <c r="C2" s="306"/>
      <c r="D2" s="306"/>
      <c r="E2" s="3"/>
      <c r="F2" s="3"/>
      <c r="G2" s="3"/>
      <c r="H2" s="3"/>
      <c r="I2" s="3"/>
      <c r="J2" s="3"/>
      <c r="K2" s="3"/>
      <c r="L2" s="3"/>
      <c r="M2" s="3" t="s">
        <v>362</v>
      </c>
      <c r="N2" s="3"/>
      <c r="O2" s="3"/>
      <c r="P2" s="11" t="s">
        <v>164</v>
      </c>
      <c r="S2" s="13"/>
    </row>
    <row r="3" spans="2:19" s="1" customFormat="1" ht="31.5" customHeight="1">
      <c r="B3" s="4" t="s">
        <v>162</v>
      </c>
      <c r="C3" s="4" t="s">
        <v>363</v>
      </c>
      <c r="D3" s="5" t="s">
        <v>364</v>
      </c>
      <c r="E3" s="5" t="s">
        <v>365</v>
      </c>
      <c r="F3" s="5" t="s">
        <v>366</v>
      </c>
      <c r="G3" s="5" t="s">
        <v>367</v>
      </c>
      <c r="H3" s="5" t="s">
        <v>368</v>
      </c>
      <c r="I3" s="5" t="s">
        <v>271</v>
      </c>
      <c r="J3" s="5" t="s">
        <v>267</v>
      </c>
      <c r="K3" s="5" t="s">
        <v>369</v>
      </c>
      <c r="L3" s="5" t="s">
        <v>370</v>
      </c>
      <c r="M3" s="5" t="s">
        <v>270</v>
      </c>
      <c r="N3" s="5" t="s">
        <v>371</v>
      </c>
      <c r="O3" s="5" t="s">
        <v>276</v>
      </c>
      <c r="P3" s="12" t="s">
        <v>374</v>
      </c>
      <c r="Q3" s="14" t="s">
        <v>375</v>
      </c>
      <c r="R3" s="14" t="s">
        <v>228</v>
      </c>
      <c r="S3" s="15" t="s">
        <v>376</v>
      </c>
    </row>
    <row r="4" spans="2:19" s="1" customFormat="1" ht="14.5">
      <c r="B4" s="6">
        <v>45658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>
        <f>SUM(C4:O4)</f>
        <v>0</v>
      </c>
      <c r="Q4" s="7">
        <f>五河新茂项目累计申报!P4</f>
        <v>0</v>
      </c>
      <c r="R4" s="7">
        <f>P4-Q4</f>
        <v>0</v>
      </c>
      <c r="S4" s="16"/>
    </row>
    <row r="5" spans="2:19" ht="14.5">
      <c r="B5" s="6">
        <v>45689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>
        <f>SUM(C5:O5)</f>
        <v>0</v>
      </c>
      <c r="Q5" s="7">
        <f>五河新茂项目累计申报!P5</f>
        <v>0</v>
      </c>
      <c r="R5" s="7">
        <f t="shared" ref="R5:R15" si="0">P5-Q5</f>
        <v>0</v>
      </c>
      <c r="S5" s="16"/>
    </row>
    <row r="6" spans="2:19" ht="14.5">
      <c r="B6" s="6">
        <v>45717</v>
      </c>
      <c r="C6" s="8"/>
      <c r="D6" s="7"/>
      <c r="E6" s="7"/>
      <c r="F6" s="7"/>
      <c r="G6" s="7"/>
      <c r="H6" s="7"/>
      <c r="I6" s="7"/>
      <c r="J6" s="7"/>
      <c r="K6" s="7"/>
      <c r="L6" s="7"/>
      <c r="M6" s="7"/>
      <c r="O6" s="7"/>
      <c r="P6" s="7">
        <f t="shared" ref="P6:P16" si="1">SUM(C6:O6)</f>
        <v>0</v>
      </c>
      <c r="Q6" s="7">
        <f>五河新茂项目累计申报!P6</f>
        <v>0</v>
      </c>
      <c r="R6" s="7">
        <f t="shared" si="0"/>
        <v>0</v>
      </c>
      <c r="S6" s="16"/>
    </row>
    <row r="7" spans="2:19" ht="14.5">
      <c r="B7" s="6">
        <v>45748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>
        <f t="shared" si="1"/>
        <v>0</v>
      </c>
      <c r="Q7" s="7">
        <f>五河新茂项目累计申报!P7</f>
        <v>0</v>
      </c>
      <c r="R7" s="7">
        <f t="shared" si="0"/>
        <v>0</v>
      </c>
      <c r="S7" s="16"/>
    </row>
    <row r="8" spans="2:19" ht="14" customHeight="1">
      <c r="B8" s="6">
        <v>45778</v>
      </c>
      <c r="C8" s="7"/>
      <c r="D8" s="7"/>
      <c r="E8" s="7"/>
      <c r="F8" s="7"/>
      <c r="G8" s="7"/>
      <c r="H8" s="7"/>
      <c r="I8" s="7"/>
      <c r="J8" s="7">
        <v>940332.74</v>
      </c>
      <c r="K8" s="7"/>
      <c r="L8" s="7"/>
      <c r="M8" s="7"/>
      <c r="N8" s="7"/>
      <c r="O8" s="7"/>
      <c r="P8" s="7">
        <f t="shared" si="1"/>
        <v>940332.74</v>
      </c>
      <c r="Q8" s="7">
        <f>五河新茂项目累计申报!P8</f>
        <v>940332.74</v>
      </c>
      <c r="R8" s="7">
        <f t="shared" si="0"/>
        <v>0</v>
      </c>
      <c r="S8" s="16"/>
    </row>
    <row r="9" spans="2:19" ht="14.5">
      <c r="B9" s="6">
        <v>45809</v>
      </c>
      <c r="C9" s="7"/>
      <c r="D9" s="7"/>
      <c r="E9" s="7"/>
      <c r="F9" s="7">
        <v>3228.48</v>
      </c>
      <c r="G9" s="7"/>
      <c r="H9" s="7"/>
      <c r="I9" s="7"/>
      <c r="J9" s="7">
        <v>181710.37</v>
      </c>
      <c r="K9" s="7"/>
      <c r="L9" s="7"/>
      <c r="M9" s="7"/>
      <c r="N9" s="7"/>
      <c r="O9" s="7"/>
      <c r="P9" s="7">
        <f t="shared" si="1"/>
        <v>184938.85</v>
      </c>
      <c r="Q9" s="7">
        <f>五河新茂项目累计申报!P9</f>
        <v>184938.85</v>
      </c>
      <c r="R9" s="7">
        <f t="shared" si="0"/>
        <v>0</v>
      </c>
      <c r="S9" s="17"/>
    </row>
    <row r="10" spans="2:19" ht="14.5">
      <c r="B10" s="6">
        <v>45839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f t="shared" si="1"/>
        <v>0</v>
      </c>
      <c r="Q10" s="7">
        <f>五河新茂项目累计申报!P10</f>
        <v>0</v>
      </c>
      <c r="R10" s="7">
        <f t="shared" si="0"/>
        <v>0</v>
      </c>
      <c r="S10" s="17"/>
    </row>
    <row r="11" spans="2:19" ht="14.5">
      <c r="B11" s="6">
        <v>45870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f t="shared" si="1"/>
        <v>0</v>
      </c>
      <c r="Q11" s="7">
        <f>五河新茂项目累计申报!P11</f>
        <v>0</v>
      </c>
      <c r="R11" s="7">
        <f t="shared" si="0"/>
        <v>0</v>
      </c>
      <c r="S11" s="17"/>
    </row>
    <row r="12" spans="2:19" ht="14.5">
      <c r="B12" s="6">
        <v>45901</v>
      </c>
      <c r="C12" s="7"/>
      <c r="D12" s="7"/>
      <c r="E12" s="7"/>
      <c r="F12" s="7"/>
      <c r="G12" s="7"/>
      <c r="H12" s="7"/>
      <c r="I12" s="7"/>
      <c r="J12" s="7">
        <v>28031.06</v>
      </c>
      <c r="K12" s="7"/>
      <c r="L12" s="7"/>
      <c r="M12" s="7"/>
      <c r="N12" s="7"/>
      <c r="O12" s="7"/>
      <c r="P12" s="7">
        <f t="shared" si="1"/>
        <v>28031.06</v>
      </c>
      <c r="Q12" s="7">
        <f>五河新茂项目累计申报!P12</f>
        <v>120889.05499999999</v>
      </c>
      <c r="R12" s="7">
        <f t="shared" si="0"/>
        <v>-92857.994999999995</v>
      </c>
      <c r="S12" s="17"/>
    </row>
    <row r="13" spans="2:19" ht="14.5">
      <c r="B13" s="6">
        <v>45931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>
        <f t="shared" si="1"/>
        <v>0</v>
      </c>
      <c r="Q13" s="7">
        <f>五河新茂项目累计申报!P13</f>
        <v>0</v>
      </c>
      <c r="R13" s="7">
        <f t="shared" si="0"/>
        <v>0</v>
      </c>
      <c r="S13" s="17"/>
    </row>
    <row r="14" spans="2:19" ht="14.5">
      <c r="B14" s="6">
        <v>45962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>
        <f t="shared" si="1"/>
        <v>0</v>
      </c>
      <c r="Q14" s="7">
        <f>五河新茂项目累计申报!P14</f>
        <v>0</v>
      </c>
      <c r="R14" s="7">
        <f t="shared" si="0"/>
        <v>0</v>
      </c>
      <c r="S14" s="17"/>
    </row>
    <row r="15" spans="2:19" ht="14.5">
      <c r="B15" s="6">
        <v>45992</v>
      </c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f t="shared" si="1"/>
        <v>0</v>
      </c>
      <c r="Q15" s="7">
        <f>五河新茂项目累计申报!P15</f>
        <v>0</v>
      </c>
      <c r="R15" s="7">
        <f t="shared" si="0"/>
        <v>0</v>
      </c>
      <c r="S15" s="17"/>
    </row>
    <row r="16" spans="2:19" ht="14.5">
      <c r="B16" s="10" t="s">
        <v>190</v>
      </c>
      <c r="C16" s="7">
        <f>SUM(C4:C15)</f>
        <v>0</v>
      </c>
      <c r="D16" s="7">
        <f t="shared" ref="D16:R16" si="2">SUM(D4:D15)</f>
        <v>0</v>
      </c>
      <c r="E16" s="7">
        <f t="shared" si="2"/>
        <v>0</v>
      </c>
      <c r="F16" s="7">
        <f t="shared" si="2"/>
        <v>3228.48</v>
      </c>
      <c r="G16" s="7">
        <f t="shared" si="2"/>
        <v>0</v>
      </c>
      <c r="H16" s="7">
        <f t="shared" si="2"/>
        <v>0</v>
      </c>
      <c r="I16" s="7">
        <f t="shared" si="2"/>
        <v>0</v>
      </c>
      <c r="J16" s="7">
        <f t="shared" si="2"/>
        <v>1150074.17</v>
      </c>
      <c r="K16" s="7">
        <f t="shared" si="2"/>
        <v>0</v>
      </c>
      <c r="L16" s="7">
        <f t="shared" si="2"/>
        <v>0</v>
      </c>
      <c r="M16" s="7">
        <f t="shared" si="2"/>
        <v>0</v>
      </c>
      <c r="N16" s="7">
        <f t="shared" si="2"/>
        <v>0</v>
      </c>
      <c r="O16" s="7">
        <f t="shared" si="2"/>
        <v>0</v>
      </c>
      <c r="P16" s="7">
        <f t="shared" si="1"/>
        <v>1153302.6499999999</v>
      </c>
      <c r="Q16" s="7">
        <f t="shared" si="2"/>
        <v>1246160.645</v>
      </c>
      <c r="R16" s="7">
        <f t="shared" si="2"/>
        <v>-92857.994999999995</v>
      </c>
      <c r="S16" s="18"/>
    </row>
  </sheetData>
  <mergeCells count="2">
    <mergeCell ref="B1:P1"/>
    <mergeCell ref="B2:D2"/>
  </mergeCells>
  <phoneticPr fontId="6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27debb-5501-4c11-a919-df9e9feeca80">
      <Terms xmlns="http://schemas.microsoft.com/office/infopath/2007/PartnerControls"/>
    </lcf76f155ced4ddcb4097134ff3c332f>
    <TaxCatchAll xmlns="d82c1480-f73a-4ffe-acd4-6edf35a84d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007B1F87F050D4280D540DC98917B2D" ma:contentTypeVersion="16" ma:contentTypeDescription="新建文档。" ma:contentTypeScope="" ma:versionID="2e4c4b266255351ffa8aa3c4a13fab7d">
  <xsd:schema xmlns:xsd="http://www.w3.org/2001/XMLSchema" xmlns:xs="http://www.w3.org/2001/XMLSchema" xmlns:p="http://schemas.microsoft.com/office/2006/metadata/properties" xmlns:ns2="2127debb-5501-4c11-a919-df9e9feeca80" xmlns:ns3="d82c1480-f73a-4ffe-acd4-6edf35a84d7c" targetNamespace="http://schemas.microsoft.com/office/2006/metadata/properties" ma:root="true" ma:fieldsID="76ba2a05b856e3de6b97f9df485b6d6a" ns2:_="" ns3:_="">
    <xsd:import namespace="2127debb-5501-4c11-a919-df9e9feeca80"/>
    <xsd:import namespace="d82c1480-f73a-4ffe-acd4-6edf35a84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7debb-5501-4c11-a919-df9e9feec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图像标记" ma:readOnly="false" ma:fieldId="{5cf76f15-5ced-4ddc-b409-7134ff3c332f}" ma:taxonomyMulti="true" ma:sspId="c1edd845-7f0e-45a5-a31e-296826f11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c1480-f73a-4ffe-acd4-6edf35a84d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219111-dd13-4513-8340-227a95982bce}" ma:internalName="TaxCatchAll" ma:showField="CatchAllData" ma:web="d82c1480-f73a-4ffe-acd4-6edf35a84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BD09F-6167-4D24-ACD4-C2A3F02061C2}">
  <ds:schemaRefs>
    <ds:schemaRef ds:uri="http://schemas.microsoft.com/office/2006/metadata/properties"/>
    <ds:schemaRef ds:uri="http://schemas.microsoft.com/office/infopath/2007/PartnerControls"/>
    <ds:schemaRef ds:uri="2127debb-5501-4c11-a919-df9e9feeca80"/>
    <ds:schemaRef ds:uri="d82c1480-f73a-4ffe-acd4-6edf35a84d7c"/>
  </ds:schemaRefs>
</ds:datastoreItem>
</file>

<file path=customXml/itemProps2.xml><?xml version="1.0" encoding="utf-8"?>
<ds:datastoreItem xmlns:ds="http://schemas.openxmlformats.org/officeDocument/2006/customXml" ds:itemID="{8A5FDB2F-AAFF-4376-A5DE-520A255D71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02F8DC-B121-47A7-A6C2-6277CE560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7debb-5501-4c11-a919-df9e9feeca80"/>
    <ds:schemaRef ds:uri="d82c1480-f73a-4ffe-acd4-6edf35a84d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10月BS</vt:lpstr>
      <vt:lpstr>10月PL</vt:lpstr>
      <vt:lpstr>销项明细</vt:lpstr>
      <vt:lpstr>进项明细</vt:lpstr>
      <vt:lpstr>所得税明细</vt:lpstr>
      <vt:lpstr>印花税明细</vt:lpstr>
      <vt:lpstr>Ref 1_202510_Summary</vt:lpstr>
      <vt:lpstr>Ref 2_202510增值税销项 （样式）</vt:lpstr>
      <vt:lpstr>Ref 3_202510增值税进项认证清单</vt:lpstr>
      <vt:lpstr>Ref 4_202510 增值税变动表</vt:lpstr>
      <vt:lpstr>未开票数监控</vt:lpstr>
      <vt:lpstr>五河新茂项目累计申报</vt:lpstr>
      <vt:lpstr>五河新茂项目累计缴纳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Weimin Xie</dc:creator>
  <cp:lastModifiedBy>Yaozhi Hu(Outsourcing)</cp:lastModifiedBy>
  <cp:lastPrinted>2019-01-10T07:16:00Z</cp:lastPrinted>
  <dcterms:created xsi:type="dcterms:W3CDTF">2018-09-12T00:37:00Z</dcterms:created>
  <dcterms:modified xsi:type="dcterms:W3CDTF">2026-03-10T09:10:05Z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74070368D97741BC9B65B316A04CA697</vt:lpwstr>
  </property>
  <property fmtid="{D5CDD505-2E9C-101B-9397-08002B2CF9AE}" pid="4" name="KSOReadingLayout">
    <vt:bool>true</vt:bool>
  </property>
  <property fmtid="{D5CDD505-2E9C-101B-9397-08002B2CF9AE}" pid="5" name="ContentTypeId">
    <vt:lpwstr>0x010100E007B1F87F050D4280D540DC98917B2D</vt:lpwstr>
  </property>
</Properties>
</file>