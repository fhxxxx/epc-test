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2320-detail\"/>
    </mc:Choice>
  </mc:AlternateContent>
  <xr:revisionPtr revIDLastSave="0" documentId="8_{B7DC4025-1F7F-4DAD-A054-7F833D3C869F}" xr6:coauthVersionLast="47" xr6:coauthVersionMax="47" xr10:uidLastSave="{00000000-0000-0000-0000-000000000000}"/>
  <bookViews>
    <workbookView xWindow="6795" yWindow="1770" windowWidth="21600" windowHeight="12825" xr2:uid="{9ACB6C16-3B4C-4066-BB01-6A4F34ADF070}"/>
  </bookViews>
  <sheets>
    <sheet name="累计项目税收明细表202512" sheetId="1" r:id="rId1"/>
  </sheets>
  <externalReferences>
    <externalReference r:id="rId2"/>
  </externalReferences>
  <definedNames>
    <definedName name="\A">#REF!</definedName>
    <definedName name="_xlnm._FilterDatabase" localSheetId="0" hidden="1">累计项目税收明细表202512!$B$2:$XET$405</definedName>
    <definedName name="DATA1">#REF!</definedName>
    <definedName name="DATA2">#REF!</definedName>
    <definedName name="DATA3">#REF!</definedName>
    <definedName name="DATA4">#REF!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TEST0">#REF!</definedName>
    <definedName name="TESTHKEY">#REF!</definedName>
    <definedName name="TESTKEYS">#REF!</definedName>
    <definedName name="TESTVKEY">#REF!</definedName>
    <definedName name="设备发票明细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35" i="1" l="1"/>
  <c r="G435" i="1"/>
  <c r="G434" i="1"/>
  <c r="F434" i="1"/>
  <c r="AB434" i="1" s="1"/>
  <c r="G433" i="1"/>
  <c r="K432" i="1"/>
  <c r="K431" i="1"/>
  <c r="K430" i="1"/>
  <c r="K429" i="1"/>
  <c r="K428" i="1"/>
  <c r="K427" i="1"/>
  <c r="K426" i="1"/>
  <c r="Z417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I417" i="1" s="1"/>
  <c r="AH416" i="1"/>
  <c r="AH417" i="1" s="1"/>
  <c r="AG416" i="1"/>
  <c r="AG417" i="1" s="1"/>
  <c r="AF416" i="1"/>
  <c r="AF417" i="1" s="1"/>
  <c r="AE416" i="1"/>
  <c r="AD416" i="1"/>
  <c r="AC416" i="1"/>
  <c r="AB416" i="1"/>
  <c r="AA416" i="1"/>
  <c r="AA417" i="1" s="1"/>
  <c r="Z416" i="1"/>
  <c r="Y416" i="1"/>
  <c r="X416" i="1"/>
  <c r="V416" i="1"/>
  <c r="T416" i="1"/>
  <c r="R416" i="1"/>
  <c r="N416" i="1"/>
  <c r="L416" i="1"/>
  <c r="P415" i="1"/>
  <c r="P416" i="1" s="1"/>
  <c r="E415" i="1"/>
  <c r="D415" i="1"/>
  <c r="F415" i="1" s="1"/>
  <c r="G415" i="1" s="1"/>
  <c r="H415" i="1" s="1"/>
  <c r="I415" i="1" s="1"/>
  <c r="E414" i="1"/>
  <c r="F414" i="1" s="1"/>
  <c r="G414" i="1" s="1"/>
  <c r="H414" i="1" s="1"/>
  <c r="I414" i="1" s="1"/>
  <c r="D414" i="1"/>
  <c r="E413" i="1"/>
  <c r="D413" i="1"/>
  <c r="F413" i="1" s="1"/>
  <c r="G413" i="1" s="1"/>
  <c r="H413" i="1" s="1"/>
  <c r="I412" i="1"/>
  <c r="F412" i="1"/>
  <c r="G412" i="1" s="1"/>
  <c r="E412" i="1"/>
  <c r="D412" i="1"/>
  <c r="I411" i="1"/>
  <c r="E411" i="1"/>
  <c r="E416" i="1" s="1"/>
  <c r="D411" i="1"/>
  <c r="D416" i="1" s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F433" i="1" s="1"/>
  <c r="Q408" i="1"/>
  <c r="P408" i="1"/>
  <c r="O408" i="1"/>
  <c r="N408" i="1"/>
  <c r="M408" i="1"/>
  <c r="L408" i="1"/>
  <c r="K408" i="1"/>
  <c r="J408" i="1"/>
  <c r="AI406" i="1"/>
  <c r="AD405" i="1"/>
  <c r="Z405" i="1"/>
  <c r="M405" i="1"/>
  <c r="J405" i="1"/>
  <c r="BI404" i="1"/>
  <c r="BG404" i="1"/>
  <c r="BE404" i="1"/>
  <c r="BB404" i="1"/>
  <c r="AW404" i="1"/>
  <c r="AS404" i="1"/>
  <c r="AP404" i="1"/>
  <c r="AK404" i="1"/>
  <c r="Y404" i="1"/>
  <c r="Y405" i="1" s="1"/>
  <c r="BJ403" i="1"/>
  <c r="BJ404" i="1" s="1"/>
  <c r="BI403" i="1"/>
  <c r="BH403" i="1"/>
  <c r="BH404" i="1" s="1"/>
  <c r="BG403" i="1"/>
  <c r="BF403" i="1"/>
  <c r="BF404" i="1" s="1"/>
  <c r="BE403" i="1"/>
  <c r="BC403" i="1"/>
  <c r="BC404" i="1" s="1"/>
  <c r="BB403" i="1"/>
  <c r="BA403" i="1"/>
  <c r="BA404" i="1" s="1"/>
  <c r="AZ403" i="1"/>
  <c r="AZ404" i="1" s="1"/>
  <c r="AY403" i="1"/>
  <c r="AY404" i="1" s="1"/>
  <c r="AX403" i="1"/>
  <c r="AX404" i="1" s="1"/>
  <c r="AW403" i="1"/>
  <c r="AV403" i="1"/>
  <c r="AV404" i="1" s="1"/>
  <c r="AU403" i="1"/>
  <c r="AU404" i="1" s="1"/>
  <c r="AT403" i="1"/>
  <c r="AT404" i="1" s="1"/>
  <c r="AS403" i="1"/>
  <c r="AR403" i="1"/>
  <c r="AR404" i="1" s="1"/>
  <c r="AQ403" i="1"/>
  <c r="AQ404" i="1" s="1"/>
  <c r="AP403" i="1"/>
  <c r="AO403" i="1"/>
  <c r="AO404" i="1" s="1"/>
  <c r="AN403" i="1"/>
  <c r="AN404" i="1" s="1"/>
  <c r="AM403" i="1"/>
  <c r="AM404" i="1" s="1"/>
  <c r="AL403" i="1"/>
  <c r="AL404" i="1" s="1"/>
  <c r="AK403" i="1"/>
  <c r="AJ403" i="1"/>
  <c r="AJ404" i="1" s="1"/>
  <c r="AI403" i="1"/>
  <c r="AI404" i="1" s="1"/>
  <c r="AH403" i="1"/>
  <c r="AH404" i="1" s="1"/>
  <c r="AG403" i="1"/>
  <c r="AG405" i="1" s="1"/>
  <c r="AD403" i="1"/>
  <c r="AA403" i="1"/>
  <c r="AA405" i="1" s="1"/>
  <c r="Z403" i="1"/>
  <c r="Y403" i="1"/>
  <c r="Y417" i="1" s="1"/>
  <c r="X403" i="1"/>
  <c r="X417" i="1" s="1"/>
  <c r="U403" i="1"/>
  <c r="U405" i="1" s="1"/>
  <c r="T403" i="1"/>
  <c r="T405" i="1" s="1"/>
  <c r="S403" i="1"/>
  <c r="S405" i="1" s="1"/>
  <c r="Q403" i="1"/>
  <c r="Q405" i="1" s="1"/>
  <c r="O403" i="1"/>
  <c r="O405" i="1" s="1"/>
  <c r="M403" i="1"/>
  <c r="K403" i="1"/>
  <c r="K405" i="1" s="1"/>
  <c r="J403" i="1"/>
  <c r="H402" i="1"/>
  <c r="G402" i="1"/>
  <c r="H401" i="1"/>
  <c r="G401" i="1"/>
  <c r="I401" i="1" s="1"/>
  <c r="H400" i="1"/>
  <c r="I400" i="1" s="1"/>
  <c r="G400" i="1"/>
  <c r="H399" i="1"/>
  <c r="G399" i="1"/>
  <c r="I399" i="1" s="1"/>
  <c r="H398" i="1"/>
  <c r="I398" i="1" s="1"/>
  <c r="G398" i="1"/>
  <c r="H397" i="1"/>
  <c r="G397" i="1"/>
  <c r="I397" i="1" s="1"/>
  <c r="H396" i="1"/>
  <c r="I396" i="1" s="1"/>
  <c r="G396" i="1"/>
  <c r="H395" i="1"/>
  <c r="G395" i="1"/>
  <c r="I395" i="1" s="1"/>
  <c r="H394" i="1"/>
  <c r="I394" i="1" s="1"/>
  <c r="G394" i="1"/>
  <c r="H393" i="1"/>
  <c r="G393" i="1"/>
  <c r="I393" i="1" s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I359" i="1" s="1"/>
  <c r="G359" i="1"/>
  <c r="H358" i="1"/>
  <c r="G358" i="1"/>
  <c r="I358" i="1" s="1"/>
  <c r="H357" i="1"/>
  <c r="I357" i="1" s="1"/>
  <c r="G357" i="1"/>
  <c r="H356" i="1"/>
  <c r="G356" i="1"/>
  <c r="I356" i="1" s="1"/>
  <c r="H355" i="1"/>
  <c r="I355" i="1" s="1"/>
  <c r="G355" i="1"/>
  <c r="H354" i="1"/>
  <c r="G354" i="1"/>
  <c r="I354" i="1" s="1"/>
  <c r="H353" i="1"/>
  <c r="I353" i="1" s="1"/>
  <c r="G353" i="1"/>
  <c r="H352" i="1"/>
  <c r="G352" i="1"/>
  <c r="I352" i="1" s="1"/>
  <c r="H351" i="1"/>
  <c r="I351" i="1" s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I341" i="1" s="1"/>
  <c r="H340" i="1"/>
  <c r="I340" i="1" s="1"/>
  <c r="G340" i="1"/>
  <c r="H339" i="1"/>
  <c r="G339" i="1"/>
  <c r="I339" i="1" s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I329" i="1" s="1"/>
  <c r="G329" i="1"/>
  <c r="H328" i="1"/>
  <c r="G328" i="1"/>
  <c r="I328" i="1" s="1"/>
  <c r="H327" i="1"/>
  <c r="I327" i="1" s="1"/>
  <c r="G327" i="1"/>
  <c r="H326" i="1"/>
  <c r="G326" i="1"/>
  <c r="I326" i="1" s="1"/>
  <c r="H325" i="1"/>
  <c r="I325" i="1" s="1"/>
  <c r="G325" i="1"/>
  <c r="H324" i="1"/>
  <c r="G324" i="1"/>
  <c r="I324" i="1" s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I314" i="1" s="1"/>
  <c r="G314" i="1"/>
  <c r="H313" i="1"/>
  <c r="G313" i="1"/>
  <c r="I313" i="1" s="1"/>
  <c r="H312" i="1"/>
  <c r="I312" i="1" s="1"/>
  <c r="G312" i="1"/>
  <c r="H311" i="1"/>
  <c r="G311" i="1"/>
  <c r="I311" i="1" s="1"/>
  <c r="H310" i="1"/>
  <c r="I310" i="1" s="1"/>
  <c r="G310" i="1"/>
  <c r="H309" i="1"/>
  <c r="G309" i="1"/>
  <c r="I309" i="1" s="1"/>
  <c r="H308" i="1"/>
  <c r="I308" i="1" s="1"/>
  <c r="G308" i="1"/>
  <c r="H307" i="1"/>
  <c r="G307" i="1"/>
  <c r="I307" i="1" s="1"/>
  <c r="H306" i="1"/>
  <c r="I306" i="1" s="1"/>
  <c r="G306" i="1"/>
  <c r="H305" i="1"/>
  <c r="G305" i="1"/>
  <c r="I305" i="1" s="1"/>
  <c r="H304" i="1"/>
  <c r="I304" i="1" s="1"/>
  <c r="G304" i="1"/>
  <c r="H303" i="1"/>
  <c r="G303" i="1"/>
  <c r="I303" i="1" s="1"/>
  <c r="H302" i="1"/>
  <c r="I302" i="1" s="1"/>
  <c r="G302" i="1"/>
  <c r="H301" i="1"/>
  <c r="G301" i="1"/>
  <c r="I301" i="1" s="1"/>
  <c r="H300" i="1"/>
  <c r="I300" i="1" s="1"/>
  <c r="G300" i="1"/>
  <c r="H299" i="1"/>
  <c r="G299" i="1"/>
  <c r="I299" i="1" s="1"/>
  <c r="H298" i="1"/>
  <c r="I298" i="1" s="1"/>
  <c r="G298" i="1"/>
  <c r="H297" i="1"/>
  <c r="G297" i="1"/>
  <c r="I297" i="1" s="1"/>
  <c r="H296" i="1"/>
  <c r="I296" i="1" s="1"/>
  <c r="G296" i="1"/>
  <c r="H295" i="1"/>
  <c r="G295" i="1"/>
  <c r="I295" i="1" s="1"/>
  <c r="H294" i="1"/>
  <c r="I294" i="1" s="1"/>
  <c r="G294" i="1"/>
  <c r="H293" i="1"/>
  <c r="G293" i="1"/>
  <c r="I293" i="1" s="1"/>
  <c r="H292" i="1"/>
  <c r="I292" i="1" s="1"/>
  <c r="G292" i="1"/>
  <c r="H291" i="1"/>
  <c r="G291" i="1"/>
  <c r="I291" i="1" s="1"/>
  <c r="H290" i="1"/>
  <c r="G290" i="1"/>
  <c r="H289" i="1"/>
  <c r="G289" i="1"/>
  <c r="H288" i="1"/>
  <c r="G288" i="1"/>
  <c r="H287" i="1"/>
  <c r="I287" i="1" s="1"/>
  <c r="G287" i="1"/>
  <c r="H286" i="1"/>
  <c r="G286" i="1"/>
  <c r="I286" i="1" s="1"/>
  <c r="H285" i="1"/>
  <c r="I285" i="1" s="1"/>
  <c r="G285" i="1"/>
  <c r="H284" i="1"/>
  <c r="G284" i="1"/>
  <c r="I284" i="1" s="1"/>
  <c r="H283" i="1"/>
  <c r="I283" i="1" s="1"/>
  <c r="G283" i="1"/>
  <c r="H282" i="1"/>
  <c r="G282" i="1"/>
  <c r="I282" i="1" s="1"/>
  <c r="H281" i="1"/>
  <c r="I281" i="1" s="1"/>
  <c r="G281" i="1"/>
  <c r="H280" i="1"/>
  <c r="G280" i="1"/>
  <c r="I280" i="1" s="1"/>
  <c r="H279" i="1"/>
  <c r="I279" i="1" s="1"/>
  <c r="G279" i="1"/>
  <c r="H278" i="1"/>
  <c r="G278" i="1"/>
  <c r="I278" i="1" s="1"/>
  <c r="H277" i="1"/>
  <c r="I277" i="1" s="1"/>
  <c r="G277" i="1"/>
  <c r="H276" i="1"/>
  <c r="G276" i="1"/>
  <c r="I276" i="1" s="1"/>
  <c r="H275" i="1"/>
  <c r="I275" i="1" s="1"/>
  <c r="G275" i="1"/>
  <c r="H274" i="1"/>
  <c r="G274" i="1"/>
  <c r="I274" i="1" s="1"/>
  <c r="H273" i="1"/>
  <c r="I273" i="1" s="1"/>
  <c r="G273" i="1"/>
  <c r="H272" i="1"/>
  <c r="G272" i="1"/>
  <c r="I272" i="1" s="1"/>
  <c r="H271" i="1"/>
  <c r="I271" i="1" s="1"/>
  <c r="G271" i="1"/>
  <c r="H270" i="1"/>
  <c r="G270" i="1"/>
  <c r="I270" i="1" s="1"/>
  <c r="H269" i="1"/>
  <c r="I269" i="1" s="1"/>
  <c r="G269" i="1"/>
  <c r="H268" i="1"/>
  <c r="G268" i="1"/>
  <c r="I268" i="1" s="1"/>
  <c r="H267" i="1"/>
  <c r="I267" i="1" s="1"/>
  <c r="G267" i="1"/>
  <c r="H266" i="1"/>
  <c r="G266" i="1"/>
  <c r="I266" i="1" s="1"/>
  <c r="H265" i="1"/>
  <c r="I265" i="1" s="1"/>
  <c r="G265" i="1"/>
  <c r="H264" i="1"/>
  <c r="G264" i="1"/>
  <c r="I264" i="1" s="1"/>
  <c r="H263" i="1"/>
  <c r="I263" i="1" s="1"/>
  <c r="G263" i="1"/>
  <c r="H262" i="1"/>
  <c r="G262" i="1"/>
  <c r="I262" i="1" s="1"/>
  <c r="H261" i="1"/>
  <c r="I261" i="1" s="1"/>
  <c r="G261" i="1"/>
  <c r="H260" i="1"/>
  <c r="G260" i="1"/>
  <c r="I260" i="1" s="1"/>
  <c r="H259" i="1"/>
  <c r="I259" i="1" s="1"/>
  <c r="G259" i="1"/>
  <c r="H258" i="1"/>
  <c r="G258" i="1"/>
  <c r="I258" i="1" s="1"/>
  <c r="H257" i="1"/>
  <c r="I257" i="1" s="1"/>
  <c r="G257" i="1"/>
  <c r="H256" i="1"/>
  <c r="G256" i="1"/>
  <c r="I256" i="1" s="1"/>
  <c r="H255" i="1"/>
  <c r="I255" i="1" s="1"/>
  <c r="G255" i="1"/>
  <c r="H254" i="1"/>
  <c r="G254" i="1"/>
  <c r="I254" i="1" s="1"/>
  <c r="H253" i="1"/>
  <c r="I253" i="1" s="1"/>
  <c r="G253" i="1"/>
  <c r="H252" i="1"/>
  <c r="G252" i="1"/>
  <c r="I252" i="1" s="1"/>
  <c r="H251" i="1"/>
  <c r="I251" i="1" s="1"/>
  <c r="G251" i="1"/>
  <c r="H250" i="1"/>
  <c r="G250" i="1"/>
  <c r="I250" i="1" s="1"/>
  <c r="H249" i="1"/>
  <c r="I249" i="1" s="1"/>
  <c r="G249" i="1"/>
  <c r="H248" i="1"/>
  <c r="G248" i="1"/>
  <c r="I248" i="1" s="1"/>
  <c r="H247" i="1"/>
  <c r="I247" i="1" s="1"/>
  <c r="G247" i="1"/>
  <c r="H246" i="1"/>
  <c r="G246" i="1"/>
  <c r="I246" i="1" s="1"/>
  <c r="H245" i="1"/>
  <c r="I245" i="1" s="1"/>
  <c r="G245" i="1"/>
  <c r="H244" i="1"/>
  <c r="G244" i="1"/>
  <c r="I244" i="1" s="1"/>
  <c r="H243" i="1"/>
  <c r="I243" i="1" s="1"/>
  <c r="G243" i="1"/>
  <c r="H242" i="1"/>
  <c r="G242" i="1"/>
  <c r="I242" i="1" s="1"/>
  <c r="H241" i="1"/>
  <c r="I241" i="1" s="1"/>
  <c r="G241" i="1"/>
  <c r="H240" i="1"/>
  <c r="G240" i="1"/>
  <c r="I240" i="1" s="1"/>
  <c r="H239" i="1"/>
  <c r="I239" i="1" s="1"/>
  <c r="G239" i="1"/>
  <c r="H238" i="1"/>
  <c r="G238" i="1"/>
  <c r="I238" i="1" s="1"/>
  <c r="H237" i="1"/>
  <c r="I237" i="1" s="1"/>
  <c r="G237" i="1"/>
  <c r="H236" i="1"/>
  <c r="G236" i="1"/>
  <c r="I236" i="1" s="1"/>
  <c r="H235" i="1"/>
  <c r="I235" i="1" s="1"/>
  <c r="G235" i="1"/>
  <c r="H234" i="1"/>
  <c r="G234" i="1"/>
  <c r="I234" i="1" s="1"/>
  <c r="H233" i="1"/>
  <c r="I233" i="1" s="1"/>
  <c r="G233" i="1"/>
  <c r="H232" i="1"/>
  <c r="G232" i="1"/>
  <c r="I232" i="1" s="1"/>
  <c r="H231" i="1"/>
  <c r="I231" i="1" s="1"/>
  <c r="G231" i="1"/>
  <c r="H230" i="1"/>
  <c r="G230" i="1"/>
  <c r="I230" i="1" s="1"/>
  <c r="H229" i="1"/>
  <c r="I229" i="1" s="1"/>
  <c r="G229" i="1"/>
  <c r="H228" i="1"/>
  <c r="G228" i="1"/>
  <c r="I228" i="1" s="1"/>
  <c r="H227" i="1"/>
  <c r="I227" i="1" s="1"/>
  <c r="G227" i="1"/>
  <c r="H226" i="1"/>
  <c r="G226" i="1"/>
  <c r="I226" i="1" s="1"/>
  <c r="H225" i="1"/>
  <c r="I225" i="1" s="1"/>
  <c r="G225" i="1"/>
  <c r="H224" i="1"/>
  <c r="G224" i="1"/>
  <c r="I224" i="1" s="1"/>
  <c r="H223" i="1"/>
  <c r="I223" i="1" s="1"/>
  <c r="G223" i="1"/>
  <c r="H222" i="1"/>
  <c r="G222" i="1"/>
  <c r="I222" i="1" s="1"/>
  <c r="H221" i="1"/>
  <c r="I221" i="1" s="1"/>
  <c r="G221" i="1"/>
  <c r="H220" i="1"/>
  <c r="G220" i="1"/>
  <c r="I220" i="1" s="1"/>
  <c r="H219" i="1"/>
  <c r="I219" i="1" s="1"/>
  <c r="G219" i="1"/>
  <c r="H218" i="1"/>
  <c r="G218" i="1"/>
  <c r="I218" i="1" s="1"/>
  <c r="H217" i="1"/>
  <c r="I217" i="1" s="1"/>
  <c r="G217" i="1"/>
  <c r="H216" i="1"/>
  <c r="G216" i="1"/>
  <c r="I216" i="1" s="1"/>
  <c r="H215" i="1"/>
  <c r="I215" i="1" s="1"/>
  <c r="G215" i="1"/>
  <c r="H214" i="1"/>
  <c r="G214" i="1"/>
  <c r="I214" i="1" s="1"/>
  <c r="H213" i="1"/>
  <c r="I213" i="1" s="1"/>
  <c r="G213" i="1"/>
  <c r="H212" i="1"/>
  <c r="G212" i="1"/>
  <c r="I212" i="1" s="1"/>
  <c r="H211" i="1"/>
  <c r="G211" i="1"/>
  <c r="I211" i="1" s="1"/>
  <c r="H210" i="1"/>
  <c r="G210" i="1"/>
  <c r="I210" i="1" s="1"/>
  <c r="H209" i="1"/>
  <c r="I209" i="1" s="1"/>
  <c r="G209" i="1"/>
  <c r="H208" i="1"/>
  <c r="G208" i="1"/>
  <c r="I208" i="1" s="1"/>
  <c r="H207" i="1"/>
  <c r="G207" i="1"/>
  <c r="I207" i="1" s="1"/>
  <c r="H206" i="1"/>
  <c r="G206" i="1"/>
  <c r="H205" i="1"/>
  <c r="G205" i="1"/>
  <c r="H204" i="1"/>
  <c r="G204" i="1"/>
  <c r="H203" i="1"/>
  <c r="G203" i="1"/>
  <c r="I203" i="1" s="1"/>
  <c r="H202" i="1"/>
  <c r="G202" i="1"/>
  <c r="I202" i="1" s="1"/>
  <c r="H201" i="1"/>
  <c r="G201" i="1"/>
  <c r="I201" i="1" s="1"/>
  <c r="H200" i="1"/>
  <c r="I200" i="1" s="1"/>
  <c r="G200" i="1"/>
  <c r="H199" i="1"/>
  <c r="G199" i="1"/>
  <c r="I199" i="1" s="1"/>
  <c r="H198" i="1"/>
  <c r="G198" i="1"/>
  <c r="I198" i="1" s="1"/>
  <c r="H197" i="1"/>
  <c r="G197" i="1"/>
  <c r="I197" i="1" s="1"/>
  <c r="H196" i="1"/>
  <c r="I196" i="1" s="1"/>
  <c r="G196" i="1"/>
  <c r="H195" i="1"/>
  <c r="G195" i="1"/>
  <c r="I195" i="1" s="1"/>
  <c r="H194" i="1"/>
  <c r="G194" i="1"/>
  <c r="I194" i="1" s="1"/>
  <c r="H193" i="1"/>
  <c r="G193" i="1"/>
  <c r="I193" i="1" s="1"/>
  <c r="H192" i="1"/>
  <c r="I192" i="1" s="1"/>
  <c r="G192" i="1"/>
  <c r="H191" i="1"/>
  <c r="G191" i="1"/>
  <c r="I191" i="1" s="1"/>
  <c r="H190" i="1"/>
  <c r="G190" i="1"/>
  <c r="I190" i="1" s="1"/>
  <c r="H189" i="1"/>
  <c r="G189" i="1"/>
  <c r="I189" i="1" s="1"/>
  <c r="H188" i="1"/>
  <c r="I188" i="1" s="1"/>
  <c r="G188" i="1"/>
  <c r="H187" i="1"/>
  <c r="G187" i="1"/>
  <c r="I187" i="1" s="1"/>
  <c r="H186" i="1"/>
  <c r="G186" i="1"/>
  <c r="I186" i="1" s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I179" i="1" s="1"/>
  <c r="H178" i="1"/>
  <c r="I178" i="1" s="1"/>
  <c r="G178" i="1"/>
  <c r="H177" i="1"/>
  <c r="G177" i="1"/>
  <c r="I177" i="1" s="1"/>
  <c r="H176" i="1"/>
  <c r="G176" i="1"/>
  <c r="I176" i="1" s="1"/>
  <c r="H175" i="1"/>
  <c r="G175" i="1"/>
  <c r="I175" i="1" s="1"/>
  <c r="H174" i="1"/>
  <c r="I174" i="1" s="1"/>
  <c r="G174" i="1"/>
  <c r="H173" i="1"/>
  <c r="G173" i="1"/>
  <c r="I173" i="1" s="1"/>
  <c r="H172" i="1"/>
  <c r="G172" i="1"/>
  <c r="I172" i="1" s="1"/>
  <c r="H171" i="1"/>
  <c r="G171" i="1"/>
  <c r="I171" i="1" s="1"/>
  <c r="H170" i="1"/>
  <c r="I170" i="1" s="1"/>
  <c r="G170" i="1"/>
  <c r="H169" i="1"/>
  <c r="G169" i="1"/>
  <c r="I169" i="1" s="1"/>
  <c r="H168" i="1"/>
  <c r="G168" i="1"/>
  <c r="I168" i="1" s="1"/>
  <c r="H167" i="1"/>
  <c r="G167" i="1"/>
  <c r="I167" i="1" s="1"/>
  <c r="H166" i="1"/>
  <c r="I166" i="1" s="1"/>
  <c r="G166" i="1"/>
  <c r="H165" i="1"/>
  <c r="G165" i="1"/>
  <c r="I165" i="1" s="1"/>
  <c r="H164" i="1"/>
  <c r="G164" i="1"/>
  <c r="I164" i="1" s="1"/>
  <c r="H163" i="1"/>
  <c r="G163" i="1"/>
  <c r="I163" i="1" s="1"/>
  <c r="H162" i="1"/>
  <c r="I162" i="1" s="1"/>
  <c r="G162" i="1"/>
  <c r="H161" i="1"/>
  <c r="G161" i="1"/>
  <c r="I161" i="1" s="1"/>
  <c r="H160" i="1"/>
  <c r="G160" i="1"/>
  <c r="I160" i="1" s="1"/>
  <c r="H159" i="1"/>
  <c r="G159" i="1"/>
  <c r="I159" i="1" s="1"/>
  <c r="H158" i="1"/>
  <c r="I158" i="1" s="1"/>
  <c r="G158" i="1"/>
  <c r="H157" i="1"/>
  <c r="G157" i="1"/>
  <c r="I157" i="1" s="1"/>
  <c r="H156" i="1"/>
  <c r="G156" i="1"/>
  <c r="I156" i="1" s="1"/>
  <c r="H155" i="1"/>
  <c r="G155" i="1"/>
  <c r="I155" i="1" s="1"/>
  <c r="H154" i="1"/>
  <c r="I154" i="1" s="1"/>
  <c r="G154" i="1"/>
  <c r="H153" i="1"/>
  <c r="G153" i="1"/>
  <c r="I153" i="1" s="1"/>
  <c r="H152" i="1"/>
  <c r="G152" i="1"/>
  <c r="I152" i="1" s="1"/>
  <c r="AB151" i="1"/>
  <c r="I151" i="1"/>
  <c r="H151" i="1"/>
  <c r="G151" i="1"/>
  <c r="I150" i="1"/>
  <c r="H150" i="1"/>
  <c r="G150" i="1"/>
  <c r="I149" i="1"/>
  <c r="H149" i="1"/>
  <c r="G149" i="1"/>
  <c r="I148" i="1"/>
  <c r="H148" i="1"/>
  <c r="G148" i="1"/>
  <c r="I147" i="1"/>
  <c r="H147" i="1"/>
  <c r="G147" i="1"/>
  <c r="I146" i="1"/>
  <c r="H146" i="1"/>
  <c r="G146" i="1"/>
  <c r="I145" i="1"/>
  <c r="H145" i="1"/>
  <c r="G145" i="1"/>
  <c r="I144" i="1"/>
  <c r="H144" i="1"/>
  <c r="G144" i="1"/>
  <c r="AC143" i="1"/>
  <c r="AC403" i="1" s="1"/>
  <c r="AC405" i="1" s="1"/>
  <c r="AB143" i="1"/>
  <c r="G143" i="1" s="1"/>
  <c r="I143" i="1" s="1"/>
  <c r="W143" i="1"/>
  <c r="H143" i="1" s="1"/>
  <c r="I142" i="1"/>
  <c r="H142" i="1"/>
  <c r="G142" i="1"/>
  <c r="I141" i="1"/>
  <c r="H141" i="1"/>
  <c r="G141" i="1"/>
  <c r="I140" i="1"/>
  <c r="H140" i="1"/>
  <c r="G140" i="1"/>
  <c r="I139" i="1"/>
  <c r="H139" i="1"/>
  <c r="G139" i="1"/>
  <c r="I138" i="1"/>
  <c r="H138" i="1"/>
  <c r="G138" i="1"/>
  <c r="I137" i="1"/>
  <c r="H137" i="1"/>
  <c r="G137" i="1"/>
  <c r="I136" i="1"/>
  <c r="H136" i="1"/>
  <c r="G136" i="1"/>
  <c r="I135" i="1"/>
  <c r="H135" i="1"/>
  <c r="G135" i="1"/>
  <c r="I134" i="1"/>
  <c r="H134" i="1"/>
  <c r="G134" i="1"/>
  <c r="I133" i="1"/>
  <c r="H133" i="1"/>
  <c r="G133" i="1"/>
  <c r="I132" i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I126" i="1"/>
  <c r="H126" i="1"/>
  <c r="G126" i="1"/>
  <c r="I125" i="1"/>
  <c r="H125" i="1"/>
  <c r="G125" i="1"/>
  <c r="I124" i="1"/>
  <c r="H124" i="1"/>
  <c r="G124" i="1"/>
  <c r="I123" i="1"/>
  <c r="H123" i="1"/>
  <c r="G123" i="1"/>
  <c r="I122" i="1"/>
  <c r="H122" i="1"/>
  <c r="G122" i="1"/>
  <c r="BD121" i="1"/>
  <c r="BD403" i="1" s="1"/>
  <c r="BD404" i="1" s="1"/>
  <c r="BC121" i="1"/>
  <c r="H121" i="1"/>
  <c r="G121" i="1"/>
  <c r="I121" i="1" s="1"/>
  <c r="H120" i="1"/>
  <c r="I120" i="1" s="1"/>
  <c r="G120" i="1"/>
  <c r="V119" i="1"/>
  <c r="I119" i="1"/>
  <c r="H119" i="1"/>
  <c r="G119" i="1"/>
  <c r="I118" i="1"/>
  <c r="H118" i="1"/>
  <c r="G118" i="1"/>
  <c r="I117" i="1"/>
  <c r="H117" i="1"/>
  <c r="G117" i="1"/>
  <c r="I116" i="1"/>
  <c r="H116" i="1"/>
  <c r="G116" i="1"/>
  <c r="AB115" i="1"/>
  <c r="G115" i="1" s="1"/>
  <c r="I115" i="1" s="1"/>
  <c r="H115" i="1"/>
  <c r="H114" i="1"/>
  <c r="G114" i="1"/>
  <c r="I114" i="1" s="1"/>
  <c r="I113" i="1"/>
  <c r="H113" i="1"/>
  <c r="G113" i="1"/>
  <c r="X112" i="1"/>
  <c r="G112" i="1" s="1"/>
  <c r="I112" i="1" s="1"/>
  <c r="V112" i="1"/>
  <c r="H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R103" i="1"/>
  <c r="G103" i="1" s="1"/>
  <c r="I103" i="1" s="1"/>
  <c r="L103" i="1"/>
  <c r="H103" i="1"/>
  <c r="H102" i="1"/>
  <c r="I102" i="1" s="1"/>
  <c r="G102" i="1"/>
  <c r="H101" i="1"/>
  <c r="G101" i="1"/>
  <c r="I101" i="1" s="1"/>
  <c r="V100" i="1"/>
  <c r="L100" i="1"/>
  <c r="H100" i="1"/>
  <c r="G100" i="1"/>
  <c r="I100" i="1" s="1"/>
  <c r="I99" i="1"/>
  <c r="H99" i="1"/>
  <c r="G99" i="1"/>
  <c r="H98" i="1"/>
  <c r="G98" i="1"/>
  <c r="I98" i="1" s="1"/>
  <c r="V97" i="1"/>
  <c r="L97" i="1"/>
  <c r="G97" i="1" s="1"/>
  <c r="I97" i="1" s="1"/>
  <c r="H97" i="1"/>
  <c r="I96" i="1"/>
  <c r="H96" i="1"/>
  <c r="G96" i="1"/>
  <c r="I95" i="1"/>
  <c r="H95" i="1"/>
  <c r="G95" i="1"/>
  <c r="V94" i="1"/>
  <c r="R94" i="1"/>
  <c r="R403" i="1" s="1"/>
  <c r="R405" i="1" s="1"/>
  <c r="L94" i="1"/>
  <c r="G94" i="1" s="1"/>
  <c r="I94" i="1" s="1"/>
  <c r="H94" i="1"/>
  <c r="I93" i="1"/>
  <c r="H93" i="1"/>
  <c r="G93" i="1"/>
  <c r="I92" i="1"/>
  <c r="H92" i="1"/>
  <c r="G92" i="1"/>
  <c r="V91" i="1"/>
  <c r="L91" i="1"/>
  <c r="G91" i="1" s="1"/>
  <c r="I91" i="1" s="1"/>
  <c r="H91" i="1"/>
  <c r="H90" i="1"/>
  <c r="G90" i="1"/>
  <c r="I90" i="1" s="1"/>
  <c r="H89" i="1"/>
  <c r="I89" i="1" s="1"/>
  <c r="G89" i="1"/>
  <c r="V88" i="1"/>
  <c r="L88" i="1"/>
  <c r="G88" i="1" s="1"/>
  <c r="I88" i="1" s="1"/>
  <c r="H88" i="1"/>
  <c r="H87" i="1"/>
  <c r="G87" i="1"/>
  <c r="I87" i="1" s="1"/>
  <c r="I86" i="1"/>
  <c r="H86" i="1"/>
  <c r="G86" i="1"/>
  <c r="L85" i="1"/>
  <c r="H85" i="1"/>
  <c r="G85" i="1"/>
  <c r="I85" i="1" s="1"/>
  <c r="H84" i="1"/>
  <c r="I84" i="1" s="1"/>
  <c r="G84" i="1"/>
  <c r="H83" i="1"/>
  <c r="G83" i="1"/>
  <c r="I83" i="1" s="1"/>
  <c r="V82" i="1"/>
  <c r="L82" i="1"/>
  <c r="H82" i="1"/>
  <c r="G82" i="1"/>
  <c r="I82" i="1" s="1"/>
  <c r="H81" i="1"/>
  <c r="G81" i="1"/>
  <c r="I81" i="1" s="1"/>
  <c r="H80" i="1"/>
  <c r="G80" i="1"/>
  <c r="I80" i="1" s="1"/>
  <c r="W79" i="1"/>
  <c r="H79" i="1" s="1"/>
  <c r="V79" i="1"/>
  <c r="G79" i="1" s="1"/>
  <c r="AE78" i="1"/>
  <c r="H78" i="1" s="1"/>
  <c r="G78" i="1"/>
  <c r="I78" i="1" s="1"/>
  <c r="H77" i="1"/>
  <c r="G77" i="1"/>
  <c r="I77" i="1" s="1"/>
  <c r="I76" i="1"/>
  <c r="H76" i="1"/>
  <c r="G76" i="1"/>
  <c r="V75" i="1"/>
  <c r="H75" i="1"/>
  <c r="G75" i="1"/>
  <c r="I75" i="1" s="1"/>
  <c r="V74" i="1"/>
  <c r="G74" i="1" s="1"/>
  <c r="I74" i="1" s="1"/>
  <c r="H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P58" i="1"/>
  <c r="P403" i="1" s="1"/>
  <c r="P405" i="1" s="1"/>
  <c r="N58" i="1"/>
  <c r="N403" i="1" s="1"/>
  <c r="N405" i="1" s="1"/>
  <c r="L58" i="1"/>
  <c r="H58" i="1"/>
  <c r="AF57" i="1"/>
  <c r="AF403" i="1" s="1"/>
  <c r="AF405" i="1" s="1"/>
  <c r="H57" i="1"/>
  <c r="G57" i="1"/>
  <c r="I57" i="1" s="1"/>
  <c r="I56" i="1"/>
  <c r="H56" i="1"/>
  <c r="G56" i="1"/>
  <c r="V55" i="1"/>
  <c r="H55" i="1"/>
  <c r="G55" i="1"/>
  <c r="I55" i="1" s="1"/>
  <c r="H54" i="1"/>
  <c r="I54" i="1" s="1"/>
  <c r="G54" i="1"/>
  <c r="H53" i="1"/>
  <c r="G53" i="1"/>
  <c r="I53" i="1" s="1"/>
  <c r="V52" i="1"/>
  <c r="G52" i="1" s="1"/>
  <c r="I52" i="1" s="1"/>
  <c r="H52" i="1"/>
  <c r="I51" i="1"/>
  <c r="H51" i="1"/>
  <c r="G51" i="1"/>
  <c r="I50" i="1"/>
  <c r="H50" i="1"/>
  <c r="G50" i="1"/>
  <c r="W49" i="1"/>
  <c r="W403" i="1" s="1"/>
  <c r="W405" i="1" s="1"/>
  <c r="V49" i="1"/>
  <c r="G49" i="1" s="1"/>
  <c r="H48" i="1"/>
  <c r="G48" i="1"/>
  <c r="I48" i="1" s="1"/>
  <c r="H47" i="1"/>
  <c r="I47" i="1" s="1"/>
  <c r="G47" i="1"/>
  <c r="H46" i="1"/>
  <c r="G46" i="1"/>
  <c r="I46" i="1" s="1"/>
  <c r="H45" i="1"/>
  <c r="I45" i="1" s="1"/>
  <c r="G45" i="1"/>
  <c r="H44" i="1"/>
  <c r="G44" i="1"/>
  <c r="I44" i="1" s="1"/>
  <c r="V43" i="1"/>
  <c r="L43" i="1"/>
  <c r="L403" i="1" s="1"/>
  <c r="L405" i="1" s="1"/>
  <c r="H43" i="1"/>
  <c r="G43" i="1"/>
  <c r="I43" i="1" s="1"/>
  <c r="I42" i="1"/>
  <c r="H42" i="1"/>
  <c r="G42" i="1"/>
  <c r="H41" i="1"/>
  <c r="G41" i="1"/>
  <c r="I41" i="1" s="1"/>
  <c r="V40" i="1"/>
  <c r="G40" i="1" s="1"/>
  <c r="I40" i="1" s="1"/>
  <c r="H40" i="1"/>
  <c r="H39" i="1"/>
  <c r="G39" i="1"/>
  <c r="I39" i="1" s="1"/>
  <c r="H38" i="1"/>
  <c r="I38" i="1" s="1"/>
  <c r="G38" i="1"/>
  <c r="V37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V28" i="1"/>
  <c r="H28" i="1"/>
  <c r="G28" i="1"/>
  <c r="I28" i="1" s="1"/>
  <c r="I27" i="1"/>
  <c r="H27" i="1"/>
  <c r="G27" i="1"/>
  <c r="H26" i="1"/>
  <c r="G26" i="1"/>
  <c r="I26" i="1" s="1"/>
  <c r="V25" i="1"/>
  <c r="G25" i="1" s="1"/>
  <c r="I25" i="1" s="1"/>
  <c r="H25" i="1"/>
  <c r="H24" i="1"/>
  <c r="G24" i="1"/>
  <c r="I24" i="1" s="1"/>
  <c r="H23" i="1"/>
  <c r="I23" i="1" s="1"/>
  <c r="G23" i="1"/>
  <c r="V22" i="1"/>
  <c r="I22" i="1"/>
  <c r="H22" i="1"/>
  <c r="G22" i="1"/>
  <c r="I21" i="1"/>
  <c r="H21" i="1"/>
  <c r="G21" i="1"/>
  <c r="I20" i="1"/>
  <c r="H20" i="1"/>
  <c r="G20" i="1"/>
  <c r="V19" i="1"/>
  <c r="V403" i="1" s="1"/>
  <c r="V405" i="1" s="1"/>
  <c r="H19" i="1"/>
  <c r="G19" i="1"/>
  <c r="I19" i="1" s="1"/>
  <c r="I18" i="1"/>
  <c r="H18" i="1"/>
  <c r="G18" i="1"/>
  <c r="H17" i="1"/>
  <c r="G17" i="1"/>
  <c r="I17" i="1" s="1"/>
  <c r="I16" i="1"/>
  <c r="H16" i="1"/>
  <c r="G16" i="1"/>
  <c r="H15" i="1"/>
  <c r="G15" i="1"/>
  <c r="I15" i="1" s="1"/>
  <c r="I14" i="1"/>
  <c r="H14" i="1"/>
  <c r="G14" i="1"/>
  <c r="H13" i="1"/>
  <c r="G13" i="1"/>
  <c r="H12" i="1"/>
  <c r="G12" i="1"/>
  <c r="H11" i="1"/>
  <c r="G11" i="1"/>
  <c r="H10" i="1"/>
  <c r="G10" i="1"/>
  <c r="I10" i="1" s="1"/>
  <c r="I9" i="1"/>
  <c r="H9" i="1"/>
  <c r="G9" i="1"/>
  <c r="H8" i="1"/>
  <c r="G8" i="1"/>
  <c r="I8" i="1" s="1"/>
  <c r="I7" i="1"/>
  <c r="H7" i="1"/>
  <c r="G7" i="1"/>
  <c r="H6" i="1"/>
  <c r="G6" i="1"/>
  <c r="I6" i="1" s="1"/>
  <c r="I5" i="1"/>
  <c r="H5" i="1"/>
  <c r="G5" i="1"/>
  <c r="H4" i="1"/>
  <c r="G4" i="1"/>
  <c r="I4" i="1" s="1"/>
  <c r="I3" i="1"/>
  <c r="H3" i="1"/>
  <c r="G3" i="1"/>
  <c r="Y1" i="1"/>
  <c r="X1" i="1"/>
  <c r="W1" i="1"/>
  <c r="V1" i="1"/>
  <c r="U1" i="1"/>
  <c r="T1" i="1"/>
  <c r="S1" i="1"/>
  <c r="R1" i="1"/>
  <c r="Q1" i="1"/>
  <c r="P1" i="1"/>
  <c r="O1" i="1"/>
  <c r="N1" i="1"/>
  <c r="M1" i="1"/>
  <c r="K1" i="1"/>
  <c r="J1" i="1"/>
  <c r="H403" i="1" l="1"/>
  <c r="E417" i="1" s="1"/>
  <c r="I79" i="1"/>
  <c r="I49" i="1"/>
  <c r="I403" i="1" s="1"/>
  <c r="H408" i="1"/>
  <c r="I413" i="1"/>
  <c r="I408" i="1" s="1"/>
  <c r="F435" i="1"/>
  <c r="AB433" i="1"/>
  <c r="K433" i="1"/>
  <c r="K435" i="1" s="1"/>
  <c r="L1" i="1"/>
  <c r="AB403" i="1"/>
  <c r="AB405" i="1" s="1"/>
  <c r="H49" i="1"/>
  <c r="AE403" i="1"/>
  <c r="AE405" i="1" s="1"/>
  <c r="F411" i="1"/>
  <c r="K434" i="1"/>
  <c r="X405" i="1"/>
  <c r="G58" i="1"/>
  <c r="I58" i="1" s="1"/>
  <c r="F416" i="1" l="1"/>
  <c r="G411" i="1"/>
  <c r="G416" i="1" s="1"/>
  <c r="G403" i="1"/>
  <c r="D417" i="1" s="1"/>
</calcChain>
</file>

<file path=xl/sharedStrings.xml><?xml version="1.0" encoding="utf-8"?>
<sst xmlns="http://schemas.openxmlformats.org/spreadsheetml/2006/main" count="848" uniqueCount="263">
  <si>
    <t>项目类型</t>
  </si>
  <si>
    <t>公司代码
或项目号</t>
  </si>
  <si>
    <t>项目名称</t>
  </si>
  <si>
    <t>类别</t>
  </si>
  <si>
    <t>税率</t>
  </si>
  <si>
    <t>累计收入</t>
  </si>
  <si>
    <t>累计开票</t>
  </si>
  <si>
    <t>未开票收入</t>
  </si>
  <si>
    <t>202403之前月度
收入额小计</t>
  </si>
  <si>
    <t>202403之前月度
开票额小计</t>
  </si>
  <si>
    <t>202403账面收入</t>
  </si>
  <si>
    <t>202403开票</t>
  </si>
  <si>
    <t>202404账面收入</t>
  </si>
  <si>
    <t>202404开票</t>
  </si>
  <si>
    <t>202405账面收入</t>
  </si>
  <si>
    <t>202405开票</t>
  </si>
  <si>
    <t>202406账面收入</t>
  </si>
  <si>
    <t>202406开票</t>
  </si>
  <si>
    <t>202407账面收入</t>
  </si>
  <si>
    <t>202407开票</t>
  </si>
  <si>
    <t>202408账面收入</t>
  </si>
  <si>
    <t>202408开票</t>
  </si>
  <si>
    <t>202409账面收入</t>
  </si>
  <si>
    <t>202409开票</t>
  </si>
  <si>
    <t>202410账面收入</t>
  </si>
  <si>
    <t>202410开票</t>
  </si>
  <si>
    <t>202411账面收入</t>
  </si>
  <si>
    <t>202411开票</t>
  </si>
  <si>
    <t>202412账面收入</t>
  </si>
  <si>
    <t>202412开票</t>
  </si>
  <si>
    <t>202501账面收入</t>
  </si>
  <si>
    <t>202501开票</t>
  </si>
  <si>
    <t>202502账面收入</t>
  </si>
  <si>
    <t>202502开票</t>
  </si>
  <si>
    <t>202503账面收入</t>
  </si>
  <si>
    <t>202503开票</t>
  </si>
  <si>
    <t>202504账面收入</t>
  </si>
  <si>
    <t>202504开票</t>
  </si>
  <si>
    <t>202505账面收入</t>
  </si>
  <si>
    <t>202505开票</t>
  </si>
  <si>
    <t>202506账面收入</t>
  </si>
  <si>
    <t>202506开票</t>
  </si>
  <si>
    <t>202507账面收入</t>
  </si>
  <si>
    <t>202507开票</t>
  </si>
  <si>
    <t>202508预开票金额</t>
  </si>
  <si>
    <t>202508账面收入</t>
  </si>
  <si>
    <t>202508开票</t>
  </si>
  <si>
    <t>202509账面收入</t>
  </si>
  <si>
    <t>202509开票</t>
  </si>
  <si>
    <t>202510账面收入</t>
  </si>
  <si>
    <t>202510开票</t>
  </si>
  <si>
    <t>202510预开票</t>
  </si>
  <si>
    <t>202510预开票冲回</t>
  </si>
  <si>
    <t>202511账面收入</t>
  </si>
  <si>
    <t>202511开票</t>
  </si>
  <si>
    <t>202511预开票</t>
  </si>
  <si>
    <t>202511预开票冲回</t>
  </si>
  <si>
    <t>202512账面收入</t>
  </si>
  <si>
    <t>202512开票</t>
  </si>
  <si>
    <t>202512预开票</t>
  </si>
  <si>
    <t>202512预开票冲回</t>
  </si>
  <si>
    <t>202403之前
各月度数据结转</t>
  </si>
  <si>
    <t>商品销售</t>
  </si>
  <si>
    <t>工程施工</t>
  </si>
  <si>
    <t>设计咨询</t>
  </si>
  <si>
    <t>EPC自建</t>
  </si>
  <si>
    <t>安徽宣城郎溪</t>
  </si>
  <si>
    <t>安新县阔达有色金属熔炼有限公司</t>
  </si>
  <si>
    <t>巴彦淖尔</t>
  </si>
  <si>
    <t>定边白兴庄</t>
  </si>
  <si>
    <t>定边王家梁</t>
  </si>
  <si>
    <t>定远乘风</t>
  </si>
  <si>
    <t>定远欣月</t>
  </si>
  <si>
    <t>2A50</t>
  </si>
  <si>
    <t>定远独立储能</t>
  </si>
  <si>
    <t>丰宁</t>
  </si>
  <si>
    <t>丰宁二期</t>
  </si>
  <si>
    <t>丰宁三期</t>
  </si>
  <si>
    <t>广西融水</t>
  </si>
  <si>
    <t>河南濮阳台前</t>
  </si>
  <si>
    <t>江西高安</t>
  </si>
  <si>
    <t>内蒙察右后旗项目二</t>
  </si>
  <si>
    <t>内蒙察右后旗项目一</t>
  </si>
  <si>
    <t>内蒙伊旗风光储</t>
  </si>
  <si>
    <t>甘肃宏宇天成电力工程有限公司</t>
  </si>
  <si>
    <t xml:space="preserve">河间市绿洁再生资源回收有限公司
</t>
  </si>
  <si>
    <t>3A18</t>
  </si>
  <si>
    <t>钦州灵山独立储能</t>
  </si>
  <si>
    <t>新疆巴里坤</t>
  </si>
  <si>
    <t>射阳汇智风电场110kv升压站站内设备检测工程</t>
  </si>
  <si>
    <t>内蒙鄂尔多斯风电场运检维护项目</t>
  </si>
  <si>
    <t>内蒙伊旗风光储-光伏</t>
  </si>
  <si>
    <t>河北沧县</t>
  </si>
  <si>
    <t>河南濮阳昆吾</t>
  </si>
  <si>
    <t>灵山玖伯一期</t>
  </si>
  <si>
    <t>灵山玖伯二期</t>
  </si>
  <si>
    <t>钦南久沙</t>
  </si>
  <si>
    <t>灵山文利</t>
  </si>
  <si>
    <t>钦州三期
（枫木山）</t>
  </si>
  <si>
    <t>河北魏县</t>
  </si>
  <si>
    <t>射阳储能</t>
  </si>
  <si>
    <t>耐克工厂</t>
  </si>
  <si>
    <t>民勤独青山二期</t>
  </si>
  <si>
    <t>3A12</t>
  </si>
  <si>
    <t>民勤共享储能电站</t>
  </si>
  <si>
    <t>滨州北海</t>
  </si>
  <si>
    <t>后服务</t>
  </si>
  <si>
    <t>对外EPC&amp;芯鑫</t>
  </si>
  <si>
    <t>陕西靖边城河项目</t>
  </si>
  <si>
    <t>对外EPC&amp;靖边县状泽国鸿新能源有限公司</t>
  </si>
  <si>
    <t>对外EPC</t>
  </si>
  <si>
    <t>陕西利豪鸡泽县-泽风邯郸风力发电有限责任公司</t>
  </si>
  <si>
    <t>陕西利豪鸡泽县-招银金融租赁</t>
  </si>
  <si>
    <t>3A23</t>
  </si>
  <si>
    <t>杭锦旗储能站</t>
  </si>
  <si>
    <t>4A40/4301</t>
  </si>
  <si>
    <t>锡盟苏右100万千瓦/400万千瓦时储能</t>
  </si>
  <si>
    <t xml:space="preserve"> </t>
  </si>
  <si>
    <t>4A90</t>
  </si>
  <si>
    <t>巴彦淖尔1000MW/4000MWh储能</t>
  </si>
  <si>
    <t>大宗商品</t>
  </si>
  <si>
    <t>钢贸、法兰</t>
  </si>
  <si>
    <t>152万吨/年零碳氢氨项目(一期)</t>
  </si>
  <si>
    <t>2C00</t>
  </si>
  <si>
    <t>条线</t>
  </si>
  <si>
    <t>F项目</t>
  </si>
  <si>
    <t>赤峰市风光制氢</t>
  </si>
  <si>
    <t>XC00</t>
  </si>
  <si>
    <t>华西村储能项目</t>
  </si>
  <si>
    <t>射阳零碳机关光储充项目【综能】</t>
  </si>
  <si>
    <t>射阳县沿海投资</t>
  </si>
  <si>
    <t>聆科</t>
  </si>
  <si>
    <t>乌海市远鸿富景新能源科技有限公司</t>
  </si>
  <si>
    <t>乌海市金湖独立储能电站项目</t>
  </si>
  <si>
    <t>福建海西金融租赁有限责任公司</t>
  </si>
  <si>
    <t>巴彦淖尔磴口</t>
  </si>
  <si>
    <t>陕西佳县</t>
  </si>
  <si>
    <t>星巴克（昆山）储能项目</t>
  </si>
  <si>
    <t>Mongolia BESS Project</t>
  </si>
  <si>
    <t>鄂尔多斯储能项目测试站工程施工项目（增补）</t>
  </si>
  <si>
    <t>射阳样机_远景</t>
  </si>
  <si>
    <t>综能</t>
  </si>
  <si>
    <t>惠山区循环产业园储能系统设备采购及安装项目【综能】</t>
  </si>
  <si>
    <t>贵港桂平一期</t>
  </si>
  <si>
    <t>4620</t>
  </si>
  <si>
    <t>河北沧县开元</t>
  </si>
  <si>
    <t>4650</t>
  </si>
  <si>
    <t>通榆二期</t>
  </si>
  <si>
    <t>3397</t>
  </si>
  <si>
    <t>民勤三期</t>
  </si>
  <si>
    <t>4304</t>
  </si>
  <si>
    <t>锡盟防沙治沙二连浩特市20万kW</t>
  </si>
  <si>
    <t>2342</t>
  </si>
  <si>
    <t>五河彩舟</t>
  </si>
  <si>
    <t>蚌埠五河</t>
  </si>
  <si>
    <t>4305</t>
  </si>
  <si>
    <t>锡盟防沙治沙正镶白旗10万kW+10万kW光伏</t>
  </si>
  <si>
    <t>阿拉善右旗-光伏</t>
  </si>
  <si>
    <t>阿拉善左旗</t>
  </si>
  <si>
    <t>沧县三期沧县永乐风电场</t>
  </si>
  <si>
    <t>滨州三期滨州北海马山子镇118.75MW风电场</t>
  </si>
  <si>
    <t>滨州二期</t>
  </si>
  <si>
    <t>4470</t>
  </si>
  <si>
    <t>零碳-景元汇流站</t>
  </si>
  <si>
    <t>山东大业新能源有限公司</t>
  </si>
  <si>
    <t>大业EPC项目</t>
  </si>
  <si>
    <t>芯鑫融资租赁有限责任公司</t>
  </si>
  <si>
    <t>无锡惠山投资发展有限公司</t>
  </si>
  <si>
    <t>惠山储能项目</t>
  </si>
  <si>
    <t>华能陕西靖边电力有限公司</t>
  </si>
  <si>
    <t>F-001280华能陕西靖边风电场海装一期二期风机变频器升级改造</t>
  </si>
  <si>
    <t>广西横州马安山风电场</t>
  </si>
  <si>
    <t>广西邕宁百济风电场</t>
  </si>
  <si>
    <t>广西邕宁那楼中山风电场</t>
  </si>
  <si>
    <t>广西邕宁屯王风电场</t>
  </si>
  <si>
    <t>广西邕宁中和风电场</t>
  </si>
  <si>
    <t>四子王旗储能站</t>
  </si>
  <si>
    <t>唐山乐亭项目(市场化）</t>
  </si>
  <si>
    <t>唐山乐亭项目(保障性）</t>
  </si>
  <si>
    <t>鄂尔多斯风储协同项目</t>
  </si>
  <si>
    <t>锡盟防沙治沙正蓝旗20万kW-光伏</t>
  </si>
  <si>
    <t>沧县永乐项目（三期）</t>
  </si>
  <si>
    <t>沧县长芦项目（四期）</t>
  </si>
  <si>
    <t>白城洮北</t>
  </si>
  <si>
    <t>3A17</t>
  </si>
  <si>
    <t>内蒙古特变电工能源装备有限公司</t>
  </si>
  <si>
    <t>哈密巴里坤项目_特变15套</t>
  </si>
  <si>
    <t>北京双江物资有限责任公司</t>
  </si>
  <si>
    <t>乌兹_天能26套项目</t>
  </si>
  <si>
    <t>苏州金融租赁股份有限公司</t>
  </si>
  <si>
    <t>XJ00</t>
  </si>
  <si>
    <t>零碳合金</t>
  </si>
  <si>
    <t>内蒙鄂尔多斯分散式</t>
  </si>
  <si>
    <t>内蒙鄂尔多斯分散式-光伏</t>
  </si>
  <si>
    <t>内蒙鄂尔多斯分散式-改造</t>
  </si>
  <si>
    <t>内蒙伊旗风光储-远景样机</t>
  </si>
  <si>
    <t>内蒙伊旗风光储-景元汇流站</t>
  </si>
  <si>
    <t>零碳-景元汇流站及送出</t>
  </si>
  <si>
    <t>内蒙赤峰零碳氢氨-赤峰元宝山</t>
  </si>
  <si>
    <t>赤峰市风光制氢一体化项目-赤峰翁牛特旗P1-375</t>
  </si>
  <si>
    <t>赤峰市风光制氢一体化项目-赤峰翁牛特旗P1-850</t>
  </si>
  <si>
    <t>赤峰市能源物联网零碳氢氨一体化示范项目（元宝山区34兆瓦光伏）</t>
  </si>
  <si>
    <t>赤峰1000MW/4000MWh储能</t>
  </si>
  <si>
    <t>4A60</t>
  </si>
  <si>
    <t>呼市武川100万千瓦/400万千瓦时储能</t>
  </si>
  <si>
    <t>阿拉善1000MW/4000MWh储能</t>
  </si>
  <si>
    <t>陇南西和项目</t>
  </si>
  <si>
    <t>DHL项目</t>
  </si>
  <si>
    <t>中外运—敦豪国际航空快件有限公司</t>
  </si>
  <si>
    <t>兴业金融租赁有限责任公司</t>
  </si>
  <si>
    <t>4A00</t>
  </si>
  <si>
    <t>谷山梁500千伏变电站电源侧独立储能电站子项目1</t>
  </si>
  <si>
    <t>全州凤凰岭</t>
  </si>
  <si>
    <t>大金重工70万风电项目</t>
  </si>
  <si>
    <t>睿景代后服务（致博）人员费用</t>
  </si>
  <si>
    <t>光大金融租赁股份有限公司</t>
  </si>
  <si>
    <t>嫩江晟景新材料制造有限公司</t>
  </si>
  <si>
    <t>嫩江市远景铜基新材料新能源科创产业园电缆加工项目</t>
  </si>
  <si>
    <t>综能项目</t>
  </si>
  <si>
    <t>综能-射阳光伏车棚</t>
  </si>
  <si>
    <t>1A00</t>
  </si>
  <si>
    <t>安徽定远</t>
  </si>
  <si>
    <t>锡盟京能储能项目</t>
  </si>
  <si>
    <t>合浦</t>
  </si>
  <si>
    <t>J047</t>
  </si>
  <si>
    <t>锦联科右中旗哲里木49万千瓦风电项目</t>
  </si>
  <si>
    <t>定远工厂</t>
  </si>
  <si>
    <t>转销</t>
  </si>
  <si>
    <t>合计</t>
  </si>
  <si>
    <t>from月结数据</t>
  </si>
  <si>
    <t>diff check</t>
  </si>
  <si>
    <t>累计账面收入</t>
  </si>
  <si>
    <t>累计销项</t>
  </si>
  <si>
    <t>累计申报收入</t>
  </si>
  <si>
    <t>202509应申报收入</t>
  </si>
  <si>
    <t>202509应申报销项</t>
  </si>
  <si>
    <t>202403之前月度</t>
  </si>
  <si>
    <t>账面收入</t>
  </si>
  <si>
    <t>开票</t>
  </si>
  <si>
    <t>预开票金额</t>
  </si>
  <si>
    <t>预开票</t>
  </si>
  <si>
    <t>预开票冲回</t>
  </si>
  <si>
    <t>账面收入（即申报收入）</t>
  </si>
  <si>
    <t>累计申报销项</t>
  </si>
  <si>
    <t>审计报告营业收入</t>
  </si>
  <si>
    <t>营业外收入</t>
  </si>
  <si>
    <t>注</t>
  </si>
  <si>
    <t>申报收入与营业收入之差</t>
  </si>
  <si>
    <t>差异</t>
  </si>
  <si>
    <t>2017年</t>
  </si>
  <si>
    <t>2018年</t>
  </si>
  <si>
    <t>产业扶持基金</t>
  </si>
  <si>
    <t>2019年</t>
  </si>
  <si>
    <t>财政税收返还</t>
  </si>
  <si>
    <t>2020年</t>
  </si>
  <si>
    <t>质量问题扣款</t>
  </si>
  <si>
    <t>2021年</t>
  </si>
  <si>
    <t>2022年</t>
  </si>
  <si>
    <t>2023年</t>
  </si>
  <si>
    <t>2024年</t>
  </si>
  <si>
    <t>错账</t>
  </si>
  <si>
    <t>2025年</t>
  </si>
  <si>
    <t>大业项目预开票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</si>
</sst>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#,##0.00_ "/>
    <numFmt numFmtId="177" formatCode="_(* #,##0.00_);_(* \(#,##0.00\);_(* &quot;-&quot;??_);_(@_)"/>
    <numFmt numFmtId="178" formatCode="_ \¥* #,##0.00_ ;_ \¥* \-#,##0.00_ ;_ \¥* &quot;-&quot;??_ ;_ @_ "/>
  </numFmts>
  <fonts count="1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5239112521744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523911252174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3" fillId="0" borderId="0">
      <alignment vertical="center"/>
    </xf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</cellStyleXfs>
  <cellXfs count="175">
    <xf numFmtId="0" fontId="0" fillId="0" borderId="0" xfId="0">
      <alignment vertical="center"/>
    </xf>
    <xf numFmtId="0" fontId="1" fillId="0" borderId="0" xfId="3" applyAlignment="1">
      <alignment horizontal="left"/>
    </xf>
    <xf numFmtId="0" fontId="1" fillId="0" borderId="0" xfId="3" applyAlignment="1">
      <alignment horizontal="center"/>
    </xf>
    <xf numFmtId="0" fontId="1" fillId="0" borderId="0" xfId="3"/>
    <xf numFmtId="176" fontId="1" fillId="0" borderId="0" xfId="3" applyNumberFormat="1"/>
    <xf numFmtId="177" fontId="0" fillId="0" borderId="0" xfId="1" applyFont="1" applyAlignment="1"/>
    <xf numFmtId="0" fontId="4" fillId="2" borderId="1" xfId="4" applyFont="1" applyFill="1" applyBorder="1" applyAlignment="1">
      <alignment horizontal="left" vertical="center"/>
    </xf>
    <xf numFmtId="0" fontId="4" fillId="2" borderId="1" xfId="4" applyFont="1" applyFill="1" applyBorder="1" applyAlignment="1">
      <alignment horizontal="center" vertical="center" wrapText="1"/>
    </xf>
    <xf numFmtId="0" fontId="4" fillId="2" borderId="1" xfId="4" applyFont="1" applyFill="1" applyBorder="1" applyAlignment="1">
      <alignment horizontal="center" vertical="center"/>
    </xf>
    <xf numFmtId="9" fontId="4" fillId="2" borderId="1" xfId="5" applyFont="1" applyFill="1" applyBorder="1" applyAlignment="1">
      <alignment horizontal="center" vertical="center"/>
    </xf>
    <xf numFmtId="176" fontId="4" fillId="2" borderId="1" xfId="6" applyNumberFormat="1" applyFont="1" applyFill="1" applyBorder="1" applyAlignment="1">
      <alignment horizontal="center" vertical="center"/>
    </xf>
    <xf numFmtId="176" fontId="5" fillId="3" borderId="1" xfId="3" applyNumberFormat="1" applyFont="1" applyFill="1" applyBorder="1" applyAlignment="1">
      <alignment horizontal="center" vertical="center" wrapText="1"/>
    </xf>
    <xf numFmtId="176" fontId="5" fillId="3" borderId="1" xfId="3" applyNumberFormat="1" applyFont="1" applyFill="1" applyBorder="1" applyAlignment="1">
      <alignment horizontal="center" vertical="center"/>
    </xf>
    <xf numFmtId="177" fontId="5" fillId="3" borderId="1" xfId="1" applyFont="1" applyFill="1" applyBorder="1" applyAlignment="1">
      <alignment horizontal="center" vertical="center"/>
    </xf>
    <xf numFmtId="0" fontId="1" fillId="4" borderId="0" xfId="3" applyFill="1" applyAlignment="1">
      <alignment horizontal="center" vertical="center"/>
    </xf>
    <xf numFmtId="0" fontId="1" fillId="0" borderId="0" xfId="3" applyAlignment="1">
      <alignment horizontal="center" vertical="center"/>
    </xf>
    <xf numFmtId="0" fontId="1" fillId="5" borderId="1" xfId="3" applyFill="1" applyBorder="1" applyAlignment="1">
      <alignment horizontal="left" vertical="center"/>
    </xf>
    <xf numFmtId="0" fontId="5" fillId="5" borderId="2" xfId="4" applyFont="1" applyFill="1" applyBorder="1" applyAlignment="1">
      <alignment horizontal="center" vertical="center" wrapText="1"/>
    </xf>
    <xf numFmtId="0" fontId="6" fillId="5" borderId="1" xfId="4" applyFont="1" applyFill="1" applyBorder="1" applyAlignment="1">
      <alignment horizontal="center" vertical="center"/>
    </xf>
    <xf numFmtId="9" fontId="6" fillId="5" borderId="1" xfId="5" applyFont="1" applyFill="1" applyBorder="1" applyAlignment="1">
      <alignment horizontal="center" vertical="center"/>
    </xf>
    <xf numFmtId="176" fontId="1" fillId="5" borderId="1" xfId="3" applyNumberFormat="1" applyFill="1" applyBorder="1"/>
    <xf numFmtId="176" fontId="0" fillId="5" borderId="1" xfId="6" applyNumberFormat="1" applyFont="1" applyFill="1" applyBorder="1" applyAlignment="1"/>
    <xf numFmtId="176" fontId="1" fillId="0" borderId="1" xfId="3" applyNumberFormat="1" applyBorder="1"/>
    <xf numFmtId="176" fontId="6" fillId="0" borderId="1" xfId="6" applyNumberFormat="1" applyFont="1" applyFill="1" applyBorder="1" applyAlignment="1">
      <alignment horizontal="center" vertical="center"/>
    </xf>
    <xf numFmtId="176" fontId="0" fillId="0" borderId="1" xfId="6" applyNumberFormat="1" applyFont="1" applyBorder="1" applyAlignment="1">
      <alignment horizontal="center" vertical="center"/>
    </xf>
    <xf numFmtId="177" fontId="0" fillId="0" borderId="1" xfId="1" applyFont="1" applyBorder="1" applyAlignment="1"/>
    <xf numFmtId="177" fontId="0" fillId="0" borderId="0" xfId="1" applyFont="1" applyFill="1" applyBorder="1" applyAlignment="1" applyProtection="1"/>
    <xf numFmtId="0" fontId="5" fillId="5" borderId="3" xfId="4" applyFont="1" applyFill="1" applyBorder="1" applyAlignment="1">
      <alignment horizontal="center" vertical="center" wrapText="1"/>
    </xf>
    <xf numFmtId="0" fontId="5" fillId="5" borderId="3" xfId="4" applyFont="1" applyFill="1" applyBorder="1" applyAlignment="1">
      <alignment horizontal="center" vertical="center"/>
    </xf>
    <xf numFmtId="176" fontId="1" fillId="0" borderId="1" xfId="3" applyNumberFormat="1" applyBorder="1" applyAlignment="1">
      <alignment horizontal="center"/>
    </xf>
    <xf numFmtId="0" fontId="5" fillId="5" borderId="4" xfId="4" applyFont="1" applyFill="1" applyBorder="1" applyAlignment="1">
      <alignment horizontal="center" vertical="center"/>
    </xf>
    <xf numFmtId="176" fontId="0" fillId="0" borderId="1" xfId="6" applyNumberFormat="1" applyFont="1" applyBorder="1" applyAlignment="1"/>
    <xf numFmtId="0" fontId="1" fillId="0" borderId="1" xfId="3" applyBorder="1" applyAlignment="1">
      <alignment horizontal="left" vertical="center"/>
    </xf>
    <xf numFmtId="0" fontId="1" fillId="0" borderId="2" xfId="3" applyBorder="1" applyAlignment="1">
      <alignment horizontal="center" vertical="center"/>
    </xf>
    <xf numFmtId="0" fontId="0" fillId="0" borderId="2" xfId="4" applyFont="1" applyBorder="1" applyAlignment="1">
      <alignment horizontal="center" vertical="center"/>
    </xf>
    <xf numFmtId="0" fontId="6" fillId="6" borderId="1" xfId="4" applyFont="1" applyFill="1" applyBorder="1" applyAlignment="1">
      <alignment horizontal="center" vertical="center"/>
    </xf>
    <xf numFmtId="9" fontId="6" fillId="6" borderId="1" xfId="5" applyFont="1" applyFill="1" applyBorder="1" applyAlignment="1">
      <alignment horizontal="center" vertical="center"/>
    </xf>
    <xf numFmtId="176" fontId="1" fillId="7" borderId="1" xfId="3" applyNumberFormat="1" applyFill="1" applyBorder="1"/>
    <xf numFmtId="176" fontId="0" fillId="7" borderId="1" xfId="6" applyNumberFormat="1" applyFont="1" applyFill="1" applyBorder="1" applyAlignment="1"/>
    <xf numFmtId="0" fontId="1" fillId="0" borderId="1" xfId="3" applyBorder="1" applyAlignment="1">
      <alignment horizontal="center" vertical="center"/>
    </xf>
    <xf numFmtId="0" fontId="0" fillId="0" borderId="1" xfId="4" applyFont="1" applyBorder="1" applyAlignment="1">
      <alignment horizontal="center" vertical="center"/>
    </xf>
    <xf numFmtId="0" fontId="0" fillId="0" borderId="4" xfId="4" applyFont="1" applyBorder="1" applyAlignment="1">
      <alignment horizontal="center" vertical="center"/>
    </xf>
    <xf numFmtId="0" fontId="1" fillId="0" borderId="2" xfId="3" applyBorder="1" applyAlignment="1">
      <alignment horizontal="center" vertical="center" wrapText="1"/>
    </xf>
    <xf numFmtId="177" fontId="0" fillId="0" borderId="0" xfId="1" applyFont="1" applyFill="1" applyAlignment="1" applyProtection="1"/>
    <xf numFmtId="0" fontId="1" fillId="0" borderId="3" xfId="3" applyBorder="1" applyAlignment="1">
      <alignment horizontal="center" vertical="center" wrapText="1"/>
    </xf>
    <xf numFmtId="0" fontId="1" fillId="0" borderId="4" xfId="3" applyBorder="1" applyAlignment="1">
      <alignment horizontal="center" vertical="center" wrapText="1"/>
    </xf>
    <xf numFmtId="177" fontId="7" fillId="0" borderId="0" xfId="1" applyFont="1" applyFill="1" applyBorder="1">
      <alignment vertical="center"/>
    </xf>
    <xf numFmtId="177" fontId="8" fillId="0" borderId="0" xfId="1" applyFont="1" applyFill="1" applyBorder="1">
      <alignment vertical="center"/>
    </xf>
    <xf numFmtId="0" fontId="1" fillId="0" borderId="3" xfId="3" applyBorder="1" applyAlignment="1">
      <alignment horizontal="center" vertical="center"/>
    </xf>
    <xf numFmtId="0" fontId="0" fillId="0" borderId="2" xfId="4" applyFont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0" fillId="0" borderId="4" xfId="4" applyFont="1" applyBorder="1" applyAlignment="1">
      <alignment horizontal="center" vertical="center" wrapText="1"/>
    </xf>
    <xf numFmtId="0" fontId="1" fillId="0" borderId="3" xfId="3" applyBorder="1" applyAlignment="1">
      <alignment horizontal="center" vertical="center"/>
    </xf>
    <xf numFmtId="0" fontId="1" fillId="0" borderId="4" xfId="3" applyBorder="1" applyAlignment="1">
      <alignment horizontal="center" vertical="center"/>
    </xf>
    <xf numFmtId="177" fontId="0" fillId="0" borderId="0" xfId="1" applyFont="1" applyFill="1" applyAlignment="1"/>
    <xf numFmtId="0" fontId="1" fillId="0" borderId="1" xfId="3" applyBorder="1" applyAlignment="1">
      <alignment horizontal="left" vertical="center" wrapText="1"/>
    </xf>
    <xf numFmtId="177" fontId="8" fillId="0" borderId="0" xfId="1" applyFont="1" applyFill="1">
      <alignment vertical="center"/>
    </xf>
    <xf numFmtId="177" fontId="7" fillId="0" borderId="0" xfId="1" applyFont="1" applyFill="1">
      <alignment vertical="center"/>
    </xf>
    <xf numFmtId="0" fontId="1" fillId="0" borderId="1" xfId="3" applyBorder="1" applyAlignment="1">
      <alignment horizontal="left"/>
    </xf>
    <xf numFmtId="0" fontId="1" fillId="0" borderId="1" xfId="3" applyBorder="1" applyAlignment="1">
      <alignment horizontal="center"/>
    </xf>
    <xf numFmtId="0" fontId="0" fillId="0" borderId="1" xfId="4" applyFont="1" applyBorder="1" applyAlignment="1">
      <alignment horizontal="center" vertical="center"/>
    </xf>
    <xf numFmtId="177" fontId="0" fillId="0" borderId="1" xfId="6" applyFont="1" applyBorder="1" applyAlignment="1">
      <alignment horizontal="center" vertical="center"/>
    </xf>
    <xf numFmtId="177" fontId="0" fillId="0" borderId="1" xfId="1" applyFont="1" applyBorder="1" applyAlignment="1">
      <alignment horizontal="center" vertical="center"/>
    </xf>
    <xf numFmtId="0" fontId="1" fillId="0" borderId="2" xfId="3" applyBorder="1" applyAlignment="1">
      <alignment horizontal="left"/>
    </xf>
    <xf numFmtId="0" fontId="1" fillId="0" borderId="2" xfId="3" applyBorder="1" applyAlignment="1">
      <alignment horizontal="center"/>
    </xf>
    <xf numFmtId="0" fontId="0" fillId="0" borderId="2" xfId="4" applyFont="1" applyBorder="1" applyAlignment="1">
      <alignment horizontal="center" vertical="center"/>
    </xf>
    <xf numFmtId="176" fontId="1" fillId="0" borderId="2" xfId="3" applyNumberFormat="1" applyBorder="1"/>
    <xf numFmtId="176" fontId="0" fillId="0" borderId="2" xfId="6" applyNumberFormat="1" applyFont="1" applyBorder="1" applyAlignment="1">
      <alignment horizontal="center" vertical="center"/>
    </xf>
    <xf numFmtId="177" fontId="0" fillId="0" borderId="2" xfId="6" applyFont="1" applyBorder="1" applyAlignment="1">
      <alignment horizontal="center" vertical="center"/>
    </xf>
    <xf numFmtId="177" fontId="0" fillId="0" borderId="2" xfId="1" applyFont="1" applyBorder="1" applyAlignment="1">
      <alignment horizontal="center" vertical="center"/>
    </xf>
    <xf numFmtId="177" fontId="0" fillId="0" borderId="2" xfId="1" applyFont="1" applyBorder="1" applyAlignment="1"/>
    <xf numFmtId="0" fontId="1" fillId="0" borderId="3" xfId="3" applyBorder="1" applyAlignment="1">
      <alignment horizontal="left" vertical="center"/>
    </xf>
    <xf numFmtId="0" fontId="1" fillId="0" borderId="4" xfId="3" applyBorder="1" applyAlignment="1">
      <alignment horizontal="left" vertical="center"/>
    </xf>
    <xf numFmtId="0" fontId="1" fillId="0" borderId="2" xfId="3" applyBorder="1" applyAlignment="1">
      <alignment horizontal="left" vertical="center" wrapText="1"/>
    </xf>
    <xf numFmtId="0" fontId="1" fillId="0" borderId="3" xfId="3" applyBorder="1" applyAlignment="1">
      <alignment horizontal="center"/>
    </xf>
    <xf numFmtId="0" fontId="0" fillId="0" borderId="3" xfId="4" applyFont="1" applyBorder="1" applyAlignment="1">
      <alignment horizontal="center" vertical="center"/>
    </xf>
    <xf numFmtId="0" fontId="6" fillId="6" borderId="2" xfId="4" applyFont="1" applyFill="1" applyBorder="1" applyAlignment="1">
      <alignment horizontal="center" vertical="center"/>
    </xf>
    <xf numFmtId="9" fontId="6" fillId="6" borderId="2" xfId="5" applyFont="1" applyFill="1" applyBorder="1" applyAlignment="1">
      <alignment horizontal="center" vertical="center"/>
    </xf>
    <xf numFmtId="176" fontId="1" fillId="0" borderId="5" xfId="3" applyNumberFormat="1" applyBorder="1"/>
    <xf numFmtId="176" fontId="1" fillId="0" borderId="6" xfId="3" applyNumberFormat="1" applyBorder="1"/>
    <xf numFmtId="177" fontId="0" fillId="0" borderId="1" xfId="1" applyFont="1" applyFill="1" applyBorder="1" applyAlignment="1" applyProtection="1"/>
    <xf numFmtId="177" fontId="0" fillId="0" borderId="7" xfId="1" applyFont="1" applyFill="1" applyBorder="1" applyAlignment="1" applyProtection="1"/>
    <xf numFmtId="177" fontId="0" fillId="0" borderId="0" xfId="1" applyFont="1" applyBorder="1" applyAlignment="1"/>
    <xf numFmtId="0" fontId="6" fillId="6" borderId="4" xfId="4" applyFont="1" applyFill="1" applyBorder="1" applyAlignment="1">
      <alignment horizontal="center" vertical="center"/>
    </xf>
    <xf numFmtId="9" fontId="6" fillId="6" borderId="4" xfId="5" applyFont="1" applyFill="1" applyBorder="1" applyAlignment="1">
      <alignment horizontal="center" vertical="center"/>
    </xf>
    <xf numFmtId="177" fontId="0" fillId="0" borderId="3" xfId="6" applyFont="1" applyBorder="1" applyAlignment="1">
      <alignment horizontal="center" vertical="center"/>
    </xf>
    <xf numFmtId="176" fontId="1" fillId="0" borderId="3" xfId="3" applyNumberFormat="1" applyBorder="1"/>
    <xf numFmtId="177" fontId="0" fillId="0" borderId="3" xfId="1" applyFont="1" applyBorder="1" applyAlignment="1">
      <alignment horizontal="center" vertical="center"/>
    </xf>
    <xf numFmtId="177" fontId="0" fillId="0" borderId="3" xfId="1" applyFont="1" applyBorder="1" applyAlignment="1"/>
    <xf numFmtId="177" fontId="7" fillId="0" borderId="0" xfId="1" applyFont="1">
      <alignment vertical="center"/>
    </xf>
    <xf numFmtId="0" fontId="1" fillId="0" borderId="1" xfId="3" applyBorder="1" applyAlignment="1">
      <alignment horizontal="left" vertical="center" wrapText="1"/>
    </xf>
    <xf numFmtId="0" fontId="1" fillId="0" borderId="4" xfId="3" applyBorder="1" applyAlignment="1">
      <alignment horizontal="left" vertical="center" wrapText="1"/>
    </xf>
    <xf numFmtId="0" fontId="1" fillId="0" borderId="4" xfId="3" applyBorder="1" applyAlignment="1">
      <alignment horizontal="center" vertical="center"/>
    </xf>
    <xf numFmtId="0" fontId="0" fillId="0" borderId="4" xfId="4" applyFont="1" applyBorder="1" applyAlignment="1">
      <alignment horizontal="center" vertical="center"/>
    </xf>
    <xf numFmtId="0" fontId="1" fillId="0" borderId="1" xfId="3" applyBorder="1" applyAlignment="1">
      <alignment horizontal="center" vertical="center" wrapText="1"/>
    </xf>
    <xf numFmtId="0" fontId="0" fillId="0" borderId="3" xfId="4" applyFont="1" applyBorder="1" applyAlignment="1">
      <alignment horizontal="center" vertical="center" wrapText="1"/>
    </xf>
    <xf numFmtId="176" fontId="0" fillId="0" borderId="2" xfId="6" applyNumberFormat="1" applyFont="1" applyBorder="1" applyAlignment="1"/>
    <xf numFmtId="0" fontId="1" fillId="0" borderId="2" xfId="3" applyBorder="1" applyAlignment="1">
      <alignment horizontal="left" vertical="center"/>
    </xf>
    <xf numFmtId="0" fontId="1" fillId="0" borderId="2" xfId="3" quotePrefix="1" applyBorder="1" applyAlignment="1">
      <alignment horizontal="center" vertical="center"/>
    </xf>
    <xf numFmtId="0" fontId="1" fillId="8" borderId="1" xfId="3" applyFill="1" applyBorder="1" applyAlignment="1">
      <alignment horizontal="left" vertical="center" wrapText="1"/>
    </xf>
    <xf numFmtId="0" fontId="1" fillId="8" borderId="2" xfId="3" quotePrefix="1" applyFill="1" applyBorder="1" applyAlignment="1">
      <alignment horizontal="center" vertical="center"/>
    </xf>
    <xf numFmtId="0" fontId="1" fillId="8" borderId="2" xfId="3" applyFill="1" applyBorder="1" applyAlignment="1">
      <alignment horizontal="center" vertical="center" wrapText="1"/>
    </xf>
    <xf numFmtId="0" fontId="6" fillId="8" borderId="1" xfId="4" applyFont="1" applyFill="1" applyBorder="1" applyAlignment="1">
      <alignment horizontal="center" vertical="center"/>
    </xf>
    <xf numFmtId="9" fontId="6" fillId="8" borderId="1" xfId="5" applyFont="1" applyFill="1" applyBorder="1" applyAlignment="1">
      <alignment horizontal="center" vertical="center"/>
    </xf>
    <xf numFmtId="176" fontId="0" fillId="8" borderId="1" xfId="6" applyNumberFormat="1" applyFont="1" applyFill="1" applyBorder="1" applyAlignment="1"/>
    <xf numFmtId="176" fontId="1" fillId="8" borderId="2" xfId="3" applyNumberFormat="1" applyFill="1" applyBorder="1"/>
    <xf numFmtId="176" fontId="0" fillId="8" borderId="2" xfId="6" applyNumberFormat="1" applyFont="1" applyFill="1" applyBorder="1" applyAlignment="1"/>
    <xf numFmtId="177" fontId="0" fillId="8" borderId="2" xfId="1" applyFont="1" applyFill="1" applyBorder="1" applyAlignment="1"/>
    <xf numFmtId="177" fontId="0" fillId="8" borderId="0" xfId="1" applyFont="1" applyFill="1" applyAlignment="1"/>
    <xf numFmtId="177" fontId="0" fillId="8" borderId="0" xfId="1" applyFont="1" applyFill="1" applyBorder="1" applyAlignment="1" applyProtection="1"/>
    <xf numFmtId="177" fontId="7" fillId="8" borderId="0" xfId="1" applyFont="1" applyFill="1">
      <alignment vertical="center"/>
    </xf>
    <xf numFmtId="0" fontId="1" fillId="8" borderId="0" xfId="3" applyFill="1"/>
    <xf numFmtId="0" fontId="1" fillId="8" borderId="3" xfId="3" applyFill="1" applyBorder="1" applyAlignment="1">
      <alignment horizontal="center" vertical="center" wrapText="1"/>
    </xf>
    <xf numFmtId="0" fontId="1" fillId="8" borderId="4" xfId="3" applyFill="1" applyBorder="1" applyAlignment="1">
      <alignment horizontal="center" vertical="center" wrapText="1"/>
    </xf>
    <xf numFmtId="0" fontId="1" fillId="0" borderId="3" xfId="3" applyBorder="1" applyAlignment="1">
      <alignment horizontal="left" vertical="center" wrapText="1"/>
    </xf>
    <xf numFmtId="0" fontId="1" fillId="0" borderId="1" xfId="3" applyBorder="1" applyAlignment="1">
      <alignment horizontal="center" vertical="center" wrapText="1"/>
    </xf>
    <xf numFmtId="0" fontId="1" fillId="0" borderId="2" xfId="3" applyBorder="1" applyAlignment="1">
      <alignment horizontal="center" vertical="center" wrapText="1"/>
    </xf>
    <xf numFmtId="0" fontId="1" fillId="0" borderId="2" xfId="3" applyBorder="1" applyAlignment="1">
      <alignment horizontal="left" vertical="center" wrapText="1"/>
    </xf>
    <xf numFmtId="176" fontId="0" fillId="7" borderId="2" xfId="6" applyNumberFormat="1" applyFont="1" applyFill="1" applyBorder="1" applyAlignment="1"/>
    <xf numFmtId="177" fontId="5" fillId="0" borderId="8" xfId="6" applyFont="1" applyBorder="1" applyAlignment="1">
      <alignment horizontal="center"/>
    </xf>
    <xf numFmtId="177" fontId="5" fillId="7" borderId="8" xfId="6" applyFont="1" applyFill="1" applyBorder="1" applyAlignment="1"/>
    <xf numFmtId="177" fontId="5" fillId="0" borderId="8" xfId="6" applyFont="1" applyBorder="1" applyAlignment="1"/>
    <xf numFmtId="177" fontId="5" fillId="0" borderId="8" xfId="1" applyFont="1" applyBorder="1" applyAlignment="1"/>
    <xf numFmtId="177" fontId="0" fillId="8" borderId="1" xfId="1" applyFont="1" applyFill="1" applyBorder="1" applyAlignment="1"/>
    <xf numFmtId="176" fontId="5" fillId="0" borderId="0" xfId="3" applyNumberFormat="1" applyFont="1" applyAlignment="1">
      <alignment horizontal="right"/>
    </xf>
    <xf numFmtId="176" fontId="9" fillId="0" borderId="0" xfId="3" applyNumberFormat="1" applyFont="1" applyAlignment="1">
      <alignment horizontal="right"/>
    </xf>
    <xf numFmtId="177" fontId="10" fillId="0" borderId="0" xfId="1" applyFont="1" applyAlignment="1"/>
    <xf numFmtId="178" fontId="1" fillId="0" borderId="0" xfId="3" applyNumberFormat="1"/>
    <xf numFmtId="0" fontId="5" fillId="9" borderId="2" xfId="3" applyFont="1" applyFill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/>
    </xf>
    <xf numFmtId="0" fontId="5" fillId="11" borderId="7" xfId="3" applyFont="1" applyFill="1" applyBorder="1" applyAlignment="1">
      <alignment horizontal="center"/>
    </xf>
    <xf numFmtId="0" fontId="5" fillId="11" borderId="9" xfId="3" applyFont="1" applyFill="1" applyBorder="1" applyAlignment="1">
      <alignment horizontal="center"/>
    </xf>
    <xf numFmtId="0" fontId="5" fillId="11" borderId="7" xfId="1" applyNumberFormat="1" applyFont="1" applyFill="1" applyBorder="1" applyAlignment="1">
      <alignment horizontal="center"/>
    </xf>
    <xf numFmtId="0" fontId="5" fillId="11" borderId="9" xfId="1" applyNumberFormat="1" applyFont="1" applyFill="1" applyBorder="1" applyAlignment="1">
      <alignment horizontal="center"/>
    </xf>
    <xf numFmtId="177" fontId="5" fillId="11" borderId="9" xfId="1" applyFont="1" applyFill="1" applyBorder="1" applyAlignment="1">
      <alignment horizontal="center"/>
    </xf>
    <xf numFmtId="0" fontId="5" fillId="11" borderId="10" xfId="1" applyNumberFormat="1" applyFont="1" applyFill="1" applyBorder="1" applyAlignment="1">
      <alignment horizontal="center"/>
    </xf>
    <xf numFmtId="0" fontId="5" fillId="11" borderId="7" xfId="1" applyNumberFormat="1" applyFont="1" applyFill="1" applyBorder="1" applyAlignment="1" applyProtection="1">
      <alignment horizontal="center"/>
    </xf>
    <xf numFmtId="0" fontId="0" fillId="11" borderId="9" xfId="1" applyNumberFormat="1" applyFont="1" applyFill="1" applyBorder="1" applyAlignment="1">
      <alignment horizontal="center"/>
    </xf>
    <xf numFmtId="0" fontId="0" fillId="11" borderId="1" xfId="1" applyNumberFormat="1" applyFont="1" applyFill="1" applyBorder="1" applyAlignment="1">
      <alignment horizontal="center"/>
    </xf>
    <xf numFmtId="0" fontId="0" fillId="11" borderId="11" xfId="1" applyNumberFormat="1" applyFont="1" applyFill="1" applyBorder="1" applyAlignment="1">
      <alignment horizontal="center"/>
    </xf>
    <xf numFmtId="0" fontId="0" fillId="11" borderId="3" xfId="1" applyNumberFormat="1" applyFont="1" applyFill="1" applyBorder="1" applyAlignment="1">
      <alignment horizontal="center"/>
    </xf>
    <xf numFmtId="0" fontId="0" fillId="11" borderId="0" xfId="1" applyNumberFormat="1" applyFont="1" applyFill="1" applyBorder="1" applyAlignment="1" applyProtection="1">
      <alignment horizontal="center"/>
    </xf>
    <xf numFmtId="0" fontId="0" fillId="11" borderId="11" xfId="1" applyNumberFormat="1" applyFont="1" applyFill="1" applyBorder="1" applyAlignment="1" applyProtection="1">
      <alignment horizontal="center"/>
    </xf>
    <xf numFmtId="0" fontId="5" fillId="9" borderId="4" xfId="3" applyFont="1" applyFill="1" applyBorder="1" applyAlignment="1">
      <alignment horizontal="center" vertical="center"/>
    </xf>
    <xf numFmtId="0" fontId="5" fillId="11" borderId="1" xfId="3" applyFont="1" applyFill="1" applyBorder="1" applyAlignment="1">
      <alignment horizontal="center"/>
    </xf>
    <xf numFmtId="177" fontId="5" fillId="11" borderId="1" xfId="1" applyFont="1" applyFill="1" applyBorder="1" applyAlignment="1">
      <alignment horizontal="center"/>
    </xf>
    <xf numFmtId="177" fontId="5" fillId="11" borderId="1" xfId="1" applyFont="1" applyFill="1" applyBorder="1" applyAlignment="1" applyProtection="1">
      <alignment horizontal="center"/>
    </xf>
    <xf numFmtId="177" fontId="5" fillId="8" borderId="1" xfId="1" applyFont="1" applyFill="1" applyBorder="1" applyAlignment="1" applyProtection="1">
      <alignment horizontal="center"/>
    </xf>
    <xf numFmtId="177" fontId="0" fillId="11" borderId="9" xfId="1" applyFont="1" applyFill="1" applyBorder="1" applyAlignment="1">
      <alignment horizontal="center"/>
    </xf>
    <xf numFmtId="177" fontId="0" fillId="11" borderId="1" xfId="1" applyFont="1" applyFill="1" applyBorder="1" applyAlignment="1">
      <alignment horizontal="center"/>
    </xf>
    <xf numFmtId="177" fontId="0" fillId="11" borderId="12" xfId="1" applyFont="1" applyFill="1" applyBorder="1" applyAlignment="1">
      <alignment horizontal="center"/>
    </xf>
    <xf numFmtId="177" fontId="0" fillId="11" borderId="4" xfId="1" applyFont="1" applyFill="1" applyBorder="1" applyAlignment="1">
      <alignment horizontal="center"/>
    </xf>
    <xf numFmtId="177" fontId="0" fillId="8" borderId="4" xfId="1" applyFont="1" applyFill="1" applyBorder="1" applyAlignment="1">
      <alignment horizontal="center"/>
    </xf>
    <xf numFmtId="9" fontId="0" fillId="0" borderId="1" xfId="2" applyFont="1" applyBorder="1" applyAlignment="1">
      <alignment horizontal="center"/>
    </xf>
    <xf numFmtId="177" fontId="1" fillId="12" borderId="1" xfId="3" applyNumberFormat="1" applyFill="1" applyBorder="1"/>
    <xf numFmtId="177" fontId="1" fillId="10" borderId="1" xfId="3" applyNumberFormat="1" applyFill="1" applyBorder="1"/>
    <xf numFmtId="177" fontId="0" fillId="10" borderId="1" xfId="6" applyFont="1" applyFill="1" applyBorder="1" applyAlignment="1"/>
    <xf numFmtId="177" fontId="0" fillId="0" borderId="1" xfId="6" applyFont="1" applyBorder="1" applyAlignment="1"/>
    <xf numFmtId="177" fontId="0" fillId="0" borderId="0" xfId="1" applyFont="1" applyAlignment="1">
      <alignment horizontal="center"/>
    </xf>
    <xf numFmtId="176" fontId="1" fillId="8" borderId="0" xfId="3" applyNumberFormat="1" applyFill="1"/>
    <xf numFmtId="177" fontId="1" fillId="0" borderId="1" xfId="3" applyNumberFormat="1" applyBorder="1"/>
    <xf numFmtId="43" fontId="1" fillId="0" borderId="0" xfId="3" applyNumberFormat="1"/>
    <xf numFmtId="177" fontId="0" fillId="0" borderId="0" xfId="6" applyFont="1" applyAlignment="1"/>
    <xf numFmtId="177" fontId="5" fillId="0" borderId="0" xfId="1" applyFont="1" applyAlignment="1">
      <alignment horizontal="center"/>
    </xf>
    <xf numFmtId="177" fontId="5" fillId="10" borderId="0" xfId="1" applyFont="1" applyFill="1" applyAlignment="1">
      <alignment horizontal="center"/>
    </xf>
    <xf numFmtId="177" fontId="0" fillId="8" borderId="0" xfId="1" applyFont="1" applyFill="1" applyAlignment="1">
      <alignment horizontal="center"/>
    </xf>
    <xf numFmtId="177" fontId="9" fillId="0" borderId="0" xfId="1" applyFont="1" applyAlignment="1">
      <alignment horizontal="center"/>
    </xf>
    <xf numFmtId="43" fontId="8" fillId="0" borderId="0" xfId="3" applyNumberFormat="1" applyFont="1" applyAlignment="1">
      <alignment horizontal="center"/>
    </xf>
    <xf numFmtId="176" fontId="5" fillId="5" borderId="1" xfId="3" applyNumberFormat="1" applyFont="1" applyFill="1" applyBorder="1" applyAlignment="1">
      <alignment horizontal="center"/>
    </xf>
    <xf numFmtId="176" fontId="5" fillId="0" borderId="1" xfId="3" applyNumberFormat="1" applyFont="1" applyBorder="1" applyAlignment="1">
      <alignment horizontal="center"/>
    </xf>
    <xf numFmtId="176" fontId="11" fillId="0" borderId="1" xfId="3" applyNumberFormat="1" applyFont="1" applyBorder="1" applyAlignment="1">
      <alignment horizontal="left"/>
    </xf>
    <xf numFmtId="176" fontId="12" fillId="0" borderId="1" xfId="3" applyNumberFormat="1" applyFont="1" applyBorder="1"/>
    <xf numFmtId="176" fontId="5" fillId="5" borderId="0" xfId="3" applyNumberFormat="1" applyFont="1" applyFill="1"/>
    <xf numFmtId="176" fontId="5" fillId="0" borderId="0" xfId="3" applyNumberFormat="1" applyFont="1"/>
  </cellXfs>
  <cellStyles count="7">
    <cellStyle name="百分比" xfId="2" builtinId="5"/>
    <cellStyle name="百分比 2 2 2" xfId="5" xr:uid="{2B8BE591-C00A-451D-9005-13880820DFBE}"/>
    <cellStyle name="常规" xfId="0" builtinId="0"/>
    <cellStyle name="常规 3" xfId="4" xr:uid="{2A387BB1-0E82-4428-A303-33CD69D942E1}"/>
    <cellStyle name="常规 6 2" xfId="3" xr:uid="{556E60A5-36A3-4D5D-8F7C-E9DC6D59E703}"/>
    <cellStyle name="千位分隔" xfId="1" builtinId="3"/>
    <cellStyle name="千位分隔 2 2 2" xfId="6" xr:uid="{22F0CF01-4D38-47F7-A912-73EAEF9EBB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27979;&#35797;&#25991;&#20214;\2320_&#30591;&#26223;_&#31246;&#21153;&#30003;&#25253;&#21488;&#36134;&#27719;&#24635;_202512&#26376;&#65288;&#21360;&#33457;&#31246;&#65289;.xlsx" TargetMode="External"/><Relationship Id="rId1" Type="http://schemas.openxmlformats.org/officeDocument/2006/relationships/externalLinkPath" Target="/projects/epc-test/&#27979;&#35797;&#25991;&#20214;/2320_&#30591;&#26223;_&#31246;&#21153;&#30003;&#25253;&#21488;&#36134;&#27719;&#24635;_202512&#26376;&#65288;&#21360;&#33457;&#31246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累计税金汇总表"/>
      <sheetName val="累计项目税收明细表202512"/>
      <sheetName val="累计项目税收明细表2017-202302"/>
      <sheetName val="增值税表一 累计销项"/>
      <sheetName val="账税差异监控"/>
      <sheetName val="12月BS"/>
      <sheetName val="12月PL"/>
      <sheetName val="09月CL"/>
      <sheetName val="收入"/>
      <sheetName val="销项明细"/>
      <sheetName val="进项明细"/>
      <sheetName val="所得税明细"/>
      <sheetName val="印花税明细"/>
      <sheetName val="Ref 1_202512_Summary"/>
      <sheetName val="Ref 2_202512增值税销项 （样式）"/>
      <sheetName val="Ref 3_202512增值税进项认证清单"/>
      <sheetName val="Ref 4_202512增值税变动表"/>
      <sheetName val="预开票收入计提及冲回统计（导入）"/>
      <sheetName val="未开票数监控"/>
      <sheetName val="睿景项目累计申报"/>
      <sheetName val="睿景项目累计缴纳"/>
    </sheetNames>
    <sheetDataSet>
      <sheetData sheetId="0">
        <row r="4">
          <cell r="L4">
            <v>140167334.72999999</v>
          </cell>
        </row>
      </sheetData>
      <sheetData sheetId="1"/>
      <sheetData sheetId="2">
        <row r="355">
          <cell r="G355">
            <v>11960885335.572201</v>
          </cell>
          <cell r="H355">
            <v>11569548939.0158</v>
          </cell>
        </row>
      </sheetData>
      <sheetData sheetId="3">
        <row r="4">
          <cell r="C4">
            <v>477778946.55000001</v>
          </cell>
          <cell r="J4">
            <v>52598438.985299997</v>
          </cell>
        </row>
        <row r="5">
          <cell r="C5">
            <v>282430242.26999998</v>
          </cell>
          <cell r="J5">
            <v>2048090.6717999999</v>
          </cell>
        </row>
        <row r="6">
          <cell r="C6">
            <v>20327407.879999999</v>
          </cell>
          <cell r="J6">
            <v>228353.8884</v>
          </cell>
        </row>
        <row r="7">
          <cell r="C7">
            <v>441484567.69999999</v>
          </cell>
          <cell r="J7">
            <v>44503174.523599997</v>
          </cell>
        </row>
        <row r="8">
          <cell r="C8">
            <v>65474783.409999996</v>
          </cell>
          <cell r="J8">
            <v>408109.18310000002</v>
          </cell>
        </row>
        <row r="9">
          <cell r="C9">
            <v>19242330.690000001</v>
          </cell>
          <cell r="J9">
            <v>523045.34539999999</v>
          </cell>
        </row>
        <row r="10">
          <cell r="J10">
            <v>1204297.78</v>
          </cell>
        </row>
        <row r="11">
          <cell r="J11">
            <v>3221328.6568</v>
          </cell>
        </row>
        <row r="12">
          <cell r="J12">
            <v>225586.09</v>
          </cell>
        </row>
        <row r="13">
          <cell r="J13">
            <v>2772099.51095</v>
          </cell>
        </row>
        <row r="14">
          <cell r="J14">
            <v>6110973.7873999998</v>
          </cell>
        </row>
        <row r="15">
          <cell r="J15">
            <v>489517.92060000001</v>
          </cell>
        </row>
        <row r="16">
          <cell r="J16">
            <v>3722160.8215999999</v>
          </cell>
        </row>
        <row r="17">
          <cell r="J17">
            <v>-1351971.2999</v>
          </cell>
        </row>
        <row r="18">
          <cell r="J18">
            <v>2236449.9714000002</v>
          </cell>
        </row>
        <row r="19">
          <cell r="J19">
            <v>678242.59230000002</v>
          </cell>
        </row>
        <row r="20">
          <cell r="J20">
            <v>9689351.7160999998</v>
          </cell>
        </row>
        <row r="21">
          <cell r="J21">
            <v>530360.44140000001</v>
          </cell>
        </row>
        <row r="22">
          <cell r="J22">
            <v>1368527.7068</v>
          </cell>
        </row>
        <row r="23">
          <cell r="J23">
            <v>7547343.8749000002</v>
          </cell>
        </row>
        <row r="24">
          <cell r="J24">
            <v>985966.46680000005</v>
          </cell>
        </row>
        <row r="25">
          <cell r="J25">
            <v>22260538.652100001</v>
          </cell>
        </row>
        <row r="26">
          <cell r="J26">
            <v>10890767.52</v>
          </cell>
        </row>
        <row r="27">
          <cell r="J27">
            <v>1360187.38</v>
          </cell>
        </row>
        <row r="28">
          <cell r="J28">
            <v>4947782.96</v>
          </cell>
        </row>
        <row r="29">
          <cell r="J29">
            <v>10594209.9871</v>
          </cell>
        </row>
        <row r="30">
          <cell r="J30">
            <v>1119171.017</v>
          </cell>
        </row>
        <row r="31">
          <cell r="J31">
            <v>25853792.59</v>
          </cell>
        </row>
        <row r="32">
          <cell r="J32">
            <v>4829363.03</v>
          </cell>
        </row>
        <row r="33">
          <cell r="J33">
            <v>796504.86</v>
          </cell>
        </row>
        <row r="34">
          <cell r="J34">
            <v>175882250.96000001</v>
          </cell>
        </row>
        <row r="35">
          <cell r="J35">
            <v>11296130.689999999</v>
          </cell>
        </row>
        <row r="36">
          <cell r="J36">
            <v>-1362698.59</v>
          </cell>
        </row>
      </sheetData>
      <sheetData sheetId="4">
        <row r="4">
          <cell r="J4">
            <v>431165837.97000003</v>
          </cell>
        </row>
        <row r="5">
          <cell r="J5">
            <v>355584080.39999998</v>
          </cell>
        </row>
        <row r="6">
          <cell r="J6">
            <v>48816137.859999999</v>
          </cell>
        </row>
        <row r="7">
          <cell r="J7">
            <v>97382183.185000002</v>
          </cell>
        </row>
        <row r="8">
          <cell r="J8">
            <v>50884269.899999999</v>
          </cell>
        </row>
        <row r="9">
          <cell r="J9">
            <v>121716054.69</v>
          </cell>
        </row>
        <row r="10">
          <cell r="J10">
            <v>110819286.25</v>
          </cell>
        </row>
        <row r="11">
          <cell r="J11">
            <v>314913230.89999998</v>
          </cell>
        </row>
        <row r="12">
          <cell r="J12">
            <v>174426163.13999999</v>
          </cell>
        </row>
      </sheetData>
      <sheetData sheetId="5"/>
      <sheetData sheetId="6">
        <row r="5">
          <cell r="E5">
            <v>431165837.97000003</v>
          </cell>
        </row>
        <row r="39">
          <cell r="D39">
            <v>355584080.39999998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D84E-BF53-4D21-AD0C-4997345BE01A}">
  <sheetPr>
    <tabColor rgb="FF92D050"/>
  </sheetPr>
  <dimension ref="B1:XET435"/>
  <sheetViews>
    <sheetView tabSelected="1" zoomScale="70" zoomScaleNormal="70" workbookViewId="0">
      <pane xSplit="27" topLeftCell="AB1" activePane="topRight" state="frozen"/>
      <selection pane="topRight" activeCell="E30" sqref="E30"/>
    </sheetView>
  </sheetViews>
  <sheetFormatPr defaultColWidth="9" defaultRowHeight="14.25" outlineLevelCol="1" x14ac:dyDescent="0.2"/>
  <cols>
    <col min="1" max="1" width="4.625" style="3" customWidth="1"/>
    <col min="2" max="2" width="12" style="1" customWidth="1"/>
    <col min="3" max="3" width="13.5" style="2" customWidth="1"/>
    <col min="4" max="4" width="19.5" style="3" customWidth="1"/>
    <col min="5" max="5" width="19.375" style="4" customWidth="1"/>
    <col min="6" max="6" width="17.5" style="4" customWidth="1"/>
    <col min="7" max="7" width="19.375" style="4" customWidth="1"/>
    <col min="8" max="8" width="22.25" style="4" customWidth="1"/>
    <col min="9" max="9" width="17.5" style="4" customWidth="1"/>
    <col min="10" max="10" width="20.625" style="4" hidden="1" customWidth="1" outlineLevel="1"/>
    <col min="11" max="11" width="21.375" style="4" hidden="1" customWidth="1" outlineLevel="1"/>
    <col min="12" max="12" width="19.875" style="4" hidden="1" customWidth="1" outlineLevel="1"/>
    <col min="13" max="13" width="15.875" style="4" hidden="1" customWidth="1" outlineLevel="1"/>
    <col min="14" max="14" width="20.625" style="4" hidden="1" customWidth="1" outlineLevel="1"/>
    <col min="15" max="15" width="15.875" style="4" hidden="1" customWidth="1" outlineLevel="1"/>
    <col min="16" max="16" width="19.875" style="4" hidden="1" customWidth="1" outlineLevel="1"/>
    <col min="17" max="17" width="15.875" style="4" hidden="1" customWidth="1" outlineLevel="1"/>
    <col min="18" max="18" width="19.875" style="5" hidden="1" customWidth="1" outlineLevel="1"/>
    <col min="19" max="19" width="15.875" style="5" hidden="1" customWidth="1" outlineLevel="1"/>
    <col min="20" max="20" width="16" style="5" hidden="1" customWidth="1" outlineLevel="1"/>
    <col min="21" max="21" width="15" style="5" hidden="1" customWidth="1" outlineLevel="1"/>
    <col min="22" max="22" width="17.75" style="26" hidden="1" customWidth="1" outlineLevel="1"/>
    <col min="23" max="23" width="15.5" style="26" hidden="1" customWidth="1" outlineLevel="1"/>
    <col min="24" max="24" width="16.75" style="26" hidden="1" customWidth="1" outlineLevel="1" collapsed="1"/>
    <col min="25" max="25" width="17.875" style="5" hidden="1" customWidth="1" outlineLevel="1"/>
    <col min="26" max="26" width="17.375" style="5" hidden="1" customWidth="1" outlineLevel="1"/>
    <col min="27" max="27" width="16" style="5" hidden="1" customWidth="1" outlineLevel="1"/>
    <col min="28" max="28" width="17.25" style="5" customWidth="1" collapsed="1"/>
    <col min="29" max="29" width="17.875" style="5" customWidth="1"/>
    <col min="30" max="30" width="17.25" style="5" customWidth="1"/>
    <col min="31" max="31" width="17.875" style="5" customWidth="1"/>
    <col min="32" max="32" width="22.375" style="3" customWidth="1"/>
    <col min="33" max="33" width="16.375" style="3" customWidth="1"/>
    <col min="34" max="34" width="22.375" style="5" customWidth="1"/>
    <col min="35" max="35" width="18.125" style="5" customWidth="1"/>
    <col min="36" max="36" width="16.5" style="3" customWidth="1"/>
    <col min="37" max="37" width="19" style="3" customWidth="1"/>
    <col min="38" max="38" width="16.5" style="3" customWidth="1"/>
    <col min="39" max="39" width="19" style="3" customWidth="1"/>
    <col min="40" max="40" width="16.5" style="3" customWidth="1"/>
    <col min="41" max="41" width="19" style="3" customWidth="1"/>
    <col min="42" max="42" width="16.5" style="3" customWidth="1"/>
    <col min="43" max="43" width="19" style="3" customWidth="1"/>
    <col min="44" max="44" width="16.5" style="3" customWidth="1"/>
    <col min="45" max="45" width="19" style="5" customWidth="1"/>
    <col min="46" max="46" width="18.625" style="5" customWidth="1"/>
    <col min="47" max="47" width="16.5" style="5" customWidth="1"/>
    <col min="48" max="48" width="15.375" style="5" customWidth="1"/>
    <col min="49" max="49" width="16.5" style="5" customWidth="1"/>
    <col min="50" max="50" width="17.875" style="5" customWidth="1"/>
    <col min="51" max="51" width="17.5" style="3" customWidth="1"/>
    <col min="52" max="52" width="15.375" style="3" customWidth="1"/>
    <col min="53" max="53" width="14.875" style="3" customWidth="1"/>
    <col min="54" max="54" width="18" style="3" customWidth="1"/>
    <col min="55" max="55" width="17.5" style="3" customWidth="1"/>
    <col min="56" max="56" width="15.375" style="3" customWidth="1"/>
    <col min="57" max="57" width="14.875" style="3" customWidth="1"/>
    <col min="58" max="58" width="18" style="3" customWidth="1"/>
    <col min="59" max="59" width="17.5" style="3" customWidth="1"/>
    <col min="60" max="60" width="15.375" style="3" customWidth="1"/>
    <col min="61" max="61" width="14.875" style="3" customWidth="1"/>
    <col min="62" max="62" width="18" style="3" customWidth="1"/>
    <col min="63" max="16384" width="9" style="3"/>
  </cols>
  <sheetData>
    <row r="1" spans="2:62" x14ac:dyDescent="0.2">
      <c r="E1" s="3"/>
      <c r="F1" s="3"/>
      <c r="J1" s="4">
        <f>'[1]累计项目税收明细表2017-202302'!G355</f>
        <v>11960885335.572201</v>
      </c>
      <c r="K1" s="4">
        <f>'[1]累计项目税收明细表2017-202302'!H355</f>
        <v>11569548939.0158</v>
      </c>
      <c r="L1" s="4">
        <f>SUBTOTAL(9,L8:L143)</f>
        <v>442396995.24000007</v>
      </c>
      <c r="M1" s="4">
        <f>SUBTOTAL(9,M9:M143)</f>
        <v>548139309.5200001</v>
      </c>
      <c r="N1" s="4">
        <f>SUBTOTAL(9,N8:N143)</f>
        <v>521251687.35000002</v>
      </c>
      <c r="O1" s="4">
        <f>SUBTOTAL(9,O8:O143)</f>
        <v>512442356.93000007</v>
      </c>
      <c r="P1" s="4">
        <f>SUBTOTAL(9,P8:P143)</f>
        <v>635908712.93000007</v>
      </c>
      <c r="Q1" s="4">
        <f>SUBTOTAL(9,Q8:Q143)</f>
        <v>547412844.71000004</v>
      </c>
      <c r="R1" s="5">
        <f t="shared" ref="R1:Y1" si="0">SUBTOTAL(9,R8:R150)</f>
        <v>309018271.42000002</v>
      </c>
      <c r="S1" s="5">
        <f t="shared" si="0"/>
        <v>349981310.92999995</v>
      </c>
      <c r="T1" s="5">
        <f>SUBTOTAL(9,T8:T157)</f>
        <v>555683772.25000012</v>
      </c>
      <c r="U1" s="5">
        <f t="shared" si="0"/>
        <v>517893612.47000027</v>
      </c>
      <c r="V1" s="5">
        <f t="shared" si="0"/>
        <v>674483315.83000016</v>
      </c>
      <c r="W1" s="5">
        <f t="shared" si="0"/>
        <v>542438903.14999998</v>
      </c>
      <c r="X1" s="5">
        <f t="shared" si="0"/>
        <v>336795611.06999987</v>
      </c>
      <c r="Y1" s="5">
        <f t="shared" si="0"/>
        <v>456531846.85000002</v>
      </c>
    </row>
    <row r="2" spans="2:62" s="15" customFormat="1" ht="35.1" customHeight="1" x14ac:dyDescent="0.2">
      <c r="B2" s="6" t="s">
        <v>0</v>
      </c>
      <c r="C2" s="7" t="s">
        <v>1</v>
      </c>
      <c r="D2" s="8" t="s">
        <v>2</v>
      </c>
      <c r="E2" s="8" t="s">
        <v>3</v>
      </c>
      <c r="F2" s="9" t="s">
        <v>4</v>
      </c>
      <c r="G2" s="10" t="s">
        <v>5</v>
      </c>
      <c r="H2" s="10" t="s">
        <v>6</v>
      </c>
      <c r="I2" s="10" t="s">
        <v>7</v>
      </c>
      <c r="J2" s="11" t="s">
        <v>8</v>
      </c>
      <c r="K2" s="11" t="s">
        <v>9</v>
      </c>
      <c r="L2" s="12" t="s">
        <v>10</v>
      </c>
      <c r="M2" s="12" t="s">
        <v>11</v>
      </c>
      <c r="N2" s="12" t="s">
        <v>12</v>
      </c>
      <c r="O2" s="12" t="s">
        <v>13</v>
      </c>
      <c r="P2" s="12" t="s">
        <v>14</v>
      </c>
      <c r="Q2" s="12" t="s">
        <v>15</v>
      </c>
      <c r="R2" s="13" t="s">
        <v>16</v>
      </c>
      <c r="S2" s="13" t="s">
        <v>17</v>
      </c>
      <c r="T2" s="13" t="s">
        <v>18</v>
      </c>
      <c r="U2" s="13" t="s">
        <v>19</v>
      </c>
      <c r="V2" s="13" t="s">
        <v>20</v>
      </c>
      <c r="W2" s="13" t="s">
        <v>21</v>
      </c>
      <c r="X2" s="13" t="s">
        <v>22</v>
      </c>
      <c r="Y2" s="13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28</v>
      </c>
      <c r="AE2" s="13" t="s">
        <v>29</v>
      </c>
      <c r="AF2" s="13" t="s">
        <v>30</v>
      </c>
      <c r="AG2" s="13" t="s">
        <v>31</v>
      </c>
      <c r="AH2" s="13" t="s">
        <v>32</v>
      </c>
      <c r="AI2" s="13" t="s">
        <v>33</v>
      </c>
      <c r="AJ2" s="13" t="s">
        <v>34</v>
      </c>
      <c r="AK2" s="13" t="s">
        <v>35</v>
      </c>
      <c r="AL2" s="13" t="s">
        <v>36</v>
      </c>
      <c r="AM2" s="13" t="s">
        <v>37</v>
      </c>
      <c r="AN2" s="13" t="s">
        <v>38</v>
      </c>
      <c r="AO2" s="13" t="s">
        <v>39</v>
      </c>
      <c r="AP2" s="13" t="s">
        <v>40</v>
      </c>
      <c r="AQ2" s="13" t="s">
        <v>41</v>
      </c>
      <c r="AR2" s="13" t="s">
        <v>42</v>
      </c>
      <c r="AS2" s="13" t="s">
        <v>43</v>
      </c>
      <c r="AT2" s="13" t="s">
        <v>44</v>
      </c>
      <c r="AU2" s="13" t="s">
        <v>45</v>
      </c>
      <c r="AV2" s="13" t="s">
        <v>46</v>
      </c>
      <c r="AW2" s="13" t="s">
        <v>47</v>
      </c>
      <c r="AX2" s="13" t="s">
        <v>48</v>
      </c>
      <c r="AY2" s="13" t="s">
        <v>49</v>
      </c>
      <c r="AZ2" s="13" t="s">
        <v>50</v>
      </c>
      <c r="BA2" s="14" t="s">
        <v>51</v>
      </c>
      <c r="BB2" s="14" t="s">
        <v>52</v>
      </c>
      <c r="BC2" s="13" t="s">
        <v>53</v>
      </c>
      <c r="BD2" s="13" t="s">
        <v>54</v>
      </c>
      <c r="BE2" s="14" t="s">
        <v>55</v>
      </c>
      <c r="BF2" s="14" t="s">
        <v>56</v>
      </c>
      <c r="BG2" s="13" t="s">
        <v>57</v>
      </c>
      <c r="BH2" s="13" t="s">
        <v>58</v>
      </c>
      <c r="BI2" s="14" t="s">
        <v>59</v>
      </c>
      <c r="BJ2" s="14" t="s">
        <v>60</v>
      </c>
    </row>
    <row r="3" spans="2:62" x14ac:dyDescent="0.2">
      <c r="B3" s="16"/>
      <c r="C3" s="16"/>
      <c r="D3" s="17" t="s">
        <v>61</v>
      </c>
      <c r="E3" s="18" t="s">
        <v>62</v>
      </c>
      <c r="F3" s="19">
        <v>0.16</v>
      </c>
      <c r="G3" s="20">
        <f>SUM(J3,L3,N3,P3,R3,T3,V3,X3,Z3)</f>
        <v>467927.47985308501</v>
      </c>
      <c r="H3" s="20">
        <f>SUM(K3,M3,O3,Q3)</f>
        <v>88819830.209999993</v>
      </c>
      <c r="I3" s="21">
        <f>G3-H3</f>
        <v>-88351902.730146915</v>
      </c>
      <c r="J3" s="22">
        <v>467927.47985308501</v>
      </c>
      <c r="K3" s="22">
        <v>88819830.209999993</v>
      </c>
      <c r="L3" s="23"/>
      <c r="M3" s="24"/>
      <c r="N3" s="22"/>
      <c r="O3" s="22"/>
      <c r="P3" s="22"/>
      <c r="Q3" s="22"/>
      <c r="R3" s="25"/>
      <c r="S3" s="25"/>
      <c r="U3" s="3"/>
      <c r="X3" s="5"/>
      <c r="AD3" s="3"/>
      <c r="AE3" s="3"/>
      <c r="AF3" s="5"/>
      <c r="AG3" s="5"/>
    </row>
    <row r="4" spans="2:62" x14ac:dyDescent="0.2">
      <c r="B4" s="16"/>
      <c r="C4" s="16"/>
      <c r="D4" s="27"/>
      <c r="E4" s="18" t="s">
        <v>63</v>
      </c>
      <c r="F4" s="19">
        <v>0.1</v>
      </c>
      <c r="G4" s="20">
        <f t="shared" ref="G4:G7" si="1">SUM(J4,L4,N4,P4,R4,T4,V4,X4,Z4)</f>
        <v>-125644385.531721</v>
      </c>
      <c r="H4" s="20">
        <f t="shared" ref="H4:H7" si="2">SUM(K4,M4,O4,Q4)</f>
        <v>-47524533.149999999</v>
      </c>
      <c r="I4" s="21">
        <f t="shared" ref="I4:I10" si="3">G4-H4</f>
        <v>-78119852.38172099</v>
      </c>
      <c r="J4" s="22">
        <v>-125644385.531721</v>
      </c>
      <c r="K4" s="22">
        <v>-47524533.149999999</v>
      </c>
      <c r="L4" s="23"/>
      <c r="M4" s="24"/>
      <c r="N4" s="22"/>
      <c r="O4" s="22"/>
      <c r="P4" s="22"/>
      <c r="Q4" s="22"/>
      <c r="R4" s="25"/>
      <c r="S4" s="25"/>
      <c r="U4" s="3"/>
      <c r="X4" s="5"/>
      <c r="AD4" s="3"/>
      <c r="AE4" s="3"/>
      <c r="AF4" s="5"/>
      <c r="AG4" s="5"/>
    </row>
    <row r="5" spans="2:62" x14ac:dyDescent="0.2">
      <c r="B5" s="16"/>
      <c r="C5" s="16"/>
      <c r="D5" s="28"/>
      <c r="E5" s="18" t="s">
        <v>62</v>
      </c>
      <c r="F5" s="19">
        <v>0.13</v>
      </c>
      <c r="G5" s="20">
        <f t="shared" si="1"/>
        <v>6608548542.9727097</v>
      </c>
      <c r="H5" s="20">
        <f t="shared" si="2"/>
        <v>6267048842.4142199</v>
      </c>
      <c r="I5" s="21">
        <f t="shared" si="3"/>
        <v>341499700.5584898</v>
      </c>
      <c r="J5" s="22">
        <v>6608548542.9727097</v>
      </c>
      <c r="K5" s="22">
        <v>6267048842.4142199</v>
      </c>
      <c r="L5" s="29"/>
      <c r="M5" s="22"/>
      <c r="N5" s="22"/>
      <c r="O5" s="22"/>
      <c r="P5" s="22"/>
      <c r="Q5" s="22"/>
      <c r="R5" s="25"/>
      <c r="S5" s="25"/>
      <c r="X5" s="5"/>
      <c r="AF5" s="5"/>
      <c r="AG5" s="5"/>
    </row>
    <row r="6" spans="2:62" x14ac:dyDescent="0.2">
      <c r="B6" s="16"/>
      <c r="C6" s="16"/>
      <c r="D6" s="28"/>
      <c r="E6" s="18" t="s">
        <v>63</v>
      </c>
      <c r="F6" s="19">
        <v>0.09</v>
      </c>
      <c r="G6" s="20">
        <f t="shared" si="1"/>
        <v>5014547733.4339199</v>
      </c>
      <c r="H6" s="20">
        <f t="shared" si="2"/>
        <v>4892353029.7115602</v>
      </c>
      <c r="I6" s="21">
        <f t="shared" si="3"/>
        <v>122194703.72235966</v>
      </c>
      <c r="J6" s="22">
        <v>5014547733.4339199</v>
      </c>
      <c r="K6" s="22">
        <v>4892353029.7115602</v>
      </c>
      <c r="L6" s="29"/>
      <c r="M6" s="22"/>
      <c r="N6" s="22"/>
      <c r="O6" s="22"/>
      <c r="P6" s="22"/>
      <c r="Q6" s="22"/>
      <c r="R6" s="25"/>
      <c r="S6" s="25"/>
      <c r="X6" s="5"/>
      <c r="AF6" s="5"/>
      <c r="AG6" s="5"/>
    </row>
    <row r="7" spans="2:62" x14ac:dyDescent="0.2">
      <c r="B7" s="16"/>
      <c r="C7" s="16"/>
      <c r="D7" s="30"/>
      <c r="E7" s="18" t="s">
        <v>64</v>
      </c>
      <c r="F7" s="19">
        <v>0.06</v>
      </c>
      <c r="G7" s="20">
        <f t="shared" si="1"/>
        <v>462965517.21747398</v>
      </c>
      <c r="H7" s="20">
        <f t="shared" si="2"/>
        <v>368851769.82999998</v>
      </c>
      <c r="I7" s="21">
        <f t="shared" si="3"/>
        <v>94113747.387474</v>
      </c>
      <c r="J7" s="22">
        <v>462965517.21747398</v>
      </c>
      <c r="K7" s="22">
        <v>368851769.82999998</v>
      </c>
      <c r="L7" s="29"/>
      <c r="M7" s="22"/>
      <c r="N7" s="22"/>
      <c r="O7" s="22"/>
      <c r="P7" s="31"/>
      <c r="Q7" s="22"/>
      <c r="R7" s="25"/>
      <c r="S7" s="25"/>
      <c r="Y7" s="5">
        <v>0</v>
      </c>
      <c r="AF7" s="5"/>
      <c r="AG7" s="5"/>
    </row>
    <row r="8" spans="2:62" x14ac:dyDescent="0.2">
      <c r="B8" s="32" t="s">
        <v>65</v>
      </c>
      <c r="C8" s="33">
        <v>2346</v>
      </c>
      <c r="D8" s="34" t="s">
        <v>66</v>
      </c>
      <c r="E8" s="35" t="s">
        <v>62</v>
      </c>
      <c r="F8" s="36">
        <v>0.13</v>
      </c>
      <c r="G8" s="37">
        <f>SUM(J8,L8,N8,P8,R8,T8,V8,X8,Z8,AB8,AD8,AF8,AH8,AJ8,AL8,AN8,AP8,AR8,AU8,AW8,AY8,BC8,BG8)</f>
        <v>32635696.27</v>
      </c>
      <c r="H8" s="37">
        <f>SUM(K8,M8,O8,Q8,S8,U8,W8,Y8,AA8,AC8,AE8,AG8,AI8,AK8,AM8,AO8,AQ8,AS8,AV8,AX8,AZ8,BD8,BH8)</f>
        <v>37275652.649999999</v>
      </c>
      <c r="I8" s="38">
        <f t="shared" si="3"/>
        <v>-4639956.379999999</v>
      </c>
      <c r="J8" s="22"/>
      <c r="K8" s="22"/>
      <c r="L8" s="22"/>
      <c r="N8" s="22">
        <v>7575879.3099999996</v>
      </c>
      <c r="O8" s="22">
        <v>11624469.66</v>
      </c>
      <c r="P8" s="22">
        <v>17461283.199999999</v>
      </c>
      <c r="Q8" s="22">
        <v>7575879.3200000003</v>
      </c>
      <c r="R8" s="25">
        <v>2028030.52</v>
      </c>
      <c r="S8" s="25">
        <v>10476769.91</v>
      </c>
      <c r="T8" s="5">
        <v>184101.94</v>
      </c>
      <c r="V8" s="26">
        <v>5386401.2999999998</v>
      </c>
      <c r="W8" s="26">
        <v>0</v>
      </c>
      <c r="X8" s="5">
        <v>0</v>
      </c>
      <c r="Y8" s="5">
        <v>0</v>
      </c>
      <c r="AF8" s="5"/>
      <c r="AG8" s="5"/>
      <c r="AJ8" s="3">
        <v>0</v>
      </c>
      <c r="AK8" s="3">
        <v>7598533.7599999998</v>
      </c>
    </row>
    <row r="9" spans="2:62" x14ac:dyDescent="0.2">
      <c r="B9" s="32"/>
      <c r="C9" s="39">
        <v>2346</v>
      </c>
      <c r="D9" s="40"/>
      <c r="E9" s="35" t="s">
        <v>63</v>
      </c>
      <c r="F9" s="36">
        <v>0.09</v>
      </c>
      <c r="G9" s="37">
        <f>SUM(J9,L9,N9,P9,R9,T9,V9,X9,Z9,AB9,AD9,AF9,AH9,AJ9,AL9,AN9,AP9,AR9,AU9,AW9,AY9,BC9,BG9)</f>
        <v>9498435.8200000003</v>
      </c>
      <c r="H9" s="37">
        <f>SUM(K9,M9,O9,Q9,S9,U9,W9,Y9,AA9,AC9,AE9,AG9,AI9,AK9,AM9,AO9,AQ9,AS9,AV9,AX9,AZ9,BD9,BH9)</f>
        <v>19399126.060000002</v>
      </c>
      <c r="I9" s="38">
        <f t="shared" si="3"/>
        <v>-9900690.2400000021</v>
      </c>
      <c r="J9" s="22"/>
      <c r="K9" s="22"/>
      <c r="L9" s="22">
        <v>1044857.26</v>
      </c>
      <c r="M9" s="22"/>
      <c r="N9" s="22">
        <v>2871503.66</v>
      </c>
      <c r="O9" s="22"/>
      <c r="P9" s="22">
        <v>1423208.3</v>
      </c>
      <c r="Q9" s="22">
        <v>15363804.960000001</v>
      </c>
      <c r="R9" s="25">
        <v>2364082.19</v>
      </c>
      <c r="S9" s="25">
        <v>4035321.1</v>
      </c>
      <c r="T9" s="5">
        <v>1100229.3600000001</v>
      </c>
      <c r="V9" s="26">
        <v>470183.49</v>
      </c>
      <c r="W9" s="26">
        <v>0</v>
      </c>
      <c r="X9" s="5">
        <v>224371.56</v>
      </c>
      <c r="Y9" s="5">
        <v>0</v>
      </c>
      <c r="AF9" s="5"/>
      <c r="AG9" s="5"/>
    </row>
    <row r="10" spans="2:62" x14ac:dyDescent="0.2">
      <c r="B10" s="32"/>
      <c r="C10" s="39">
        <v>2346</v>
      </c>
      <c r="D10" s="41"/>
      <c r="E10" s="35" t="s">
        <v>64</v>
      </c>
      <c r="F10" s="36">
        <v>0.06</v>
      </c>
      <c r="G10" s="37">
        <f t="shared" ref="G10:H73" si="4">SUM(J10,L10,N10,P10,R10,T10,V10,X10,Z10,AB10,AD10,AF10,AH10,AJ10,AL10,AN10,AP10,AR10,AU10,AW10,AY10,BC10,BG10)</f>
        <v>1587499.4500000002</v>
      </c>
      <c r="H10" s="37">
        <f t="shared" si="4"/>
        <v>1604523.2400000002</v>
      </c>
      <c r="I10" s="38">
        <f t="shared" si="3"/>
        <v>-17023.790000000037</v>
      </c>
      <c r="J10" s="22"/>
      <c r="K10" s="22"/>
      <c r="L10" s="22">
        <v>116896.06</v>
      </c>
      <c r="M10" s="22"/>
      <c r="N10" s="22">
        <v>170311.43</v>
      </c>
      <c r="O10" s="22"/>
      <c r="P10" s="31">
        <v>316972.40000000002</v>
      </c>
      <c r="Q10" s="22">
        <v>1050615.97</v>
      </c>
      <c r="R10" s="25">
        <v>634803.18000000005</v>
      </c>
      <c r="S10" s="25">
        <v>362041.83</v>
      </c>
      <c r="T10" s="5">
        <v>201873.22</v>
      </c>
      <c r="U10" s="5">
        <v>45222.28</v>
      </c>
      <c r="V10" s="26">
        <v>68316.87</v>
      </c>
      <c r="W10" s="26">
        <v>68316.87</v>
      </c>
      <c r="X10" s="26">
        <v>44486.8</v>
      </c>
      <c r="Y10" s="5">
        <v>44486.8</v>
      </c>
      <c r="Z10" s="5">
        <v>33839.49</v>
      </c>
      <c r="AA10" s="5">
        <v>33839.49</v>
      </c>
      <c r="AF10" s="5"/>
      <c r="AG10" s="5"/>
    </row>
    <row r="11" spans="2:62" x14ac:dyDescent="0.2">
      <c r="B11" s="32"/>
      <c r="C11" s="42" t="s">
        <v>67</v>
      </c>
      <c r="D11" s="34" t="s">
        <v>66</v>
      </c>
      <c r="E11" s="35" t="s">
        <v>62</v>
      </c>
      <c r="F11" s="36">
        <v>0.13</v>
      </c>
      <c r="G11" s="37">
        <f t="shared" si="4"/>
        <v>0</v>
      </c>
      <c r="H11" s="37">
        <f t="shared" si="4"/>
        <v>81415.929999999993</v>
      </c>
      <c r="I11" s="38"/>
      <c r="J11" s="22"/>
      <c r="K11" s="22"/>
      <c r="L11" s="22"/>
      <c r="M11" s="22"/>
      <c r="N11" s="22"/>
      <c r="O11" s="22"/>
      <c r="P11" s="31"/>
      <c r="Q11" s="22"/>
      <c r="R11" s="25"/>
      <c r="S11" s="25"/>
      <c r="X11" s="43"/>
      <c r="AF11" s="5"/>
      <c r="AG11" s="5"/>
      <c r="BH11" s="3">
        <v>81415.929999999993</v>
      </c>
    </row>
    <row r="12" spans="2:62" x14ac:dyDescent="0.2">
      <c r="B12" s="32"/>
      <c r="C12" s="44"/>
      <c r="D12" s="40"/>
      <c r="E12" s="35" t="s">
        <v>63</v>
      </c>
      <c r="F12" s="36">
        <v>0.09</v>
      </c>
      <c r="G12" s="37">
        <f t="shared" si="4"/>
        <v>0</v>
      </c>
      <c r="H12" s="37">
        <f t="shared" si="4"/>
        <v>0</v>
      </c>
      <c r="I12" s="38"/>
      <c r="J12" s="22"/>
      <c r="K12" s="22"/>
      <c r="L12" s="22"/>
      <c r="M12" s="22"/>
      <c r="N12" s="22"/>
      <c r="O12" s="22"/>
      <c r="P12" s="31"/>
      <c r="Q12" s="22"/>
      <c r="R12" s="25"/>
      <c r="S12" s="25"/>
      <c r="X12" s="43"/>
      <c r="AF12" s="5"/>
      <c r="AG12" s="5"/>
    </row>
    <row r="13" spans="2:62" x14ac:dyDescent="0.2">
      <c r="B13" s="32"/>
      <c r="C13" s="45"/>
      <c r="D13" s="41"/>
      <c r="E13" s="35" t="s">
        <v>64</v>
      </c>
      <c r="F13" s="36">
        <v>0.06</v>
      </c>
      <c r="G13" s="37">
        <f t="shared" si="4"/>
        <v>0</v>
      </c>
      <c r="H13" s="37">
        <f t="shared" si="4"/>
        <v>0</v>
      </c>
      <c r="I13" s="38"/>
      <c r="J13" s="22"/>
      <c r="K13" s="22"/>
      <c r="L13" s="22"/>
      <c r="M13" s="22"/>
      <c r="N13" s="22"/>
      <c r="O13" s="22"/>
      <c r="P13" s="31"/>
      <c r="Q13" s="22"/>
      <c r="R13" s="25"/>
      <c r="S13" s="25"/>
      <c r="X13" s="43"/>
      <c r="AF13" s="5"/>
      <c r="AG13" s="5"/>
    </row>
    <row r="14" spans="2:62" ht="15.6" customHeight="1" x14ac:dyDescent="0.2">
      <c r="B14" s="32" t="s">
        <v>65</v>
      </c>
      <c r="C14" s="39">
        <v>3660</v>
      </c>
      <c r="D14" s="34" t="s">
        <v>68</v>
      </c>
      <c r="E14" s="35" t="s">
        <v>62</v>
      </c>
      <c r="F14" s="36">
        <v>0.13</v>
      </c>
      <c r="G14" s="37">
        <f t="shared" si="4"/>
        <v>8211701.3099999996</v>
      </c>
      <c r="H14" s="37">
        <f t="shared" si="4"/>
        <v>11336363.98</v>
      </c>
      <c r="I14" s="38">
        <f>G14-H14</f>
        <v>-3124662.6700000009</v>
      </c>
      <c r="J14" s="22"/>
      <c r="K14" s="22"/>
      <c r="L14" s="22">
        <v>8130064.1399999997</v>
      </c>
      <c r="M14" s="24">
        <v>3124662.61</v>
      </c>
      <c r="N14" s="22">
        <v>81637.17</v>
      </c>
      <c r="O14" s="22"/>
      <c r="P14" s="31"/>
      <c r="Q14" s="22"/>
      <c r="R14" s="25"/>
      <c r="S14" s="25"/>
      <c r="V14" s="26">
        <v>0</v>
      </c>
      <c r="W14" s="26">
        <v>0</v>
      </c>
      <c r="X14" s="5">
        <v>0</v>
      </c>
      <c r="Y14" s="5">
        <v>8211701.3700000001</v>
      </c>
      <c r="AF14" s="5"/>
      <c r="AG14" s="5"/>
    </row>
    <row r="15" spans="2:62" x14ac:dyDescent="0.2">
      <c r="B15" s="32"/>
      <c r="C15" s="39">
        <v>3660</v>
      </c>
      <c r="D15" s="40"/>
      <c r="E15" s="35" t="s">
        <v>63</v>
      </c>
      <c r="F15" s="36">
        <v>0.09</v>
      </c>
      <c r="G15" s="37">
        <f t="shared" si="4"/>
        <v>462148463.34000009</v>
      </c>
      <c r="H15" s="37">
        <f t="shared" si="4"/>
        <v>462148463.37</v>
      </c>
      <c r="I15" s="38">
        <f>G15-H15</f>
        <v>-2.9999911785125732E-2</v>
      </c>
      <c r="J15" s="22"/>
      <c r="K15" s="22"/>
      <c r="L15" s="22">
        <v>189046572.84999999</v>
      </c>
      <c r="M15" s="22">
        <v>183486238.55000001</v>
      </c>
      <c r="N15" s="22">
        <v>220183486.24000001</v>
      </c>
      <c r="O15" s="22">
        <v>220183486.24000001</v>
      </c>
      <c r="P15" s="31">
        <v>192660550.47</v>
      </c>
      <c r="Q15" s="22">
        <v>192660550.47</v>
      </c>
      <c r="R15" s="25"/>
      <c r="S15" s="25"/>
      <c r="U15" s="5">
        <v>3981328.08</v>
      </c>
      <c r="V15" s="26">
        <v>1239039.5900000001</v>
      </c>
      <c r="W15" s="26">
        <v>0</v>
      </c>
      <c r="X15" s="5">
        <v>0</v>
      </c>
      <c r="Y15" s="5">
        <v>2818045.8</v>
      </c>
      <c r="AD15" s="5">
        <v>-140981185.81</v>
      </c>
      <c r="AE15" s="5">
        <v>0</v>
      </c>
      <c r="AF15" s="5"/>
      <c r="AG15" s="5"/>
      <c r="AI15" s="46">
        <v>-140981185.77000001</v>
      </c>
    </row>
    <row r="16" spans="2:62" x14ac:dyDescent="0.2">
      <c r="B16" s="32"/>
      <c r="C16" s="39">
        <v>3660</v>
      </c>
      <c r="D16" s="41"/>
      <c r="E16" s="35" t="s">
        <v>64</v>
      </c>
      <c r="F16" s="36">
        <v>0.06</v>
      </c>
      <c r="G16" s="37">
        <f t="shared" si="4"/>
        <v>5519384.1299999999</v>
      </c>
      <c r="H16" s="37">
        <f t="shared" si="4"/>
        <v>6976051.4500000002</v>
      </c>
      <c r="I16" s="38">
        <f>G16-H16</f>
        <v>-1456667.3200000003</v>
      </c>
      <c r="J16" s="22"/>
      <c r="K16" s="22"/>
      <c r="L16" s="22">
        <v>5238515.34</v>
      </c>
      <c r="M16" s="22">
        <v>1456667.33</v>
      </c>
      <c r="N16" s="22">
        <v>-81637.17</v>
      </c>
      <c r="O16" s="22"/>
      <c r="P16" s="31"/>
      <c r="Q16" s="22"/>
      <c r="R16" s="25"/>
      <c r="S16" s="25"/>
      <c r="T16" s="5">
        <v>212735.85</v>
      </c>
      <c r="U16" s="5">
        <v>4216037.74</v>
      </c>
      <c r="V16" s="26">
        <v>52152</v>
      </c>
      <c r="W16" s="26">
        <v>0</v>
      </c>
      <c r="X16" s="26">
        <v>0</v>
      </c>
      <c r="Y16" s="5">
        <v>1205728.27</v>
      </c>
      <c r="AD16" s="5">
        <v>97618.11</v>
      </c>
      <c r="AE16" s="5">
        <v>97618.11</v>
      </c>
      <c r="AF16" s="5"/>
      <c r="AG16" s="5"/>
    </row>
    <row r="17" spans="2:37" x14ac:dyDescent="0.2">
      <c r="B17" s="32" t="s">
        <v>65</v>
      </c>
      <c r="C17" s="33">
        <v>4030</v>
      </c>
      <c r="D17" s="34" t="s">
        <v>69</v>
      </c>
      <c r="E17" s="35" t="s">
        <v>62</v>
      </c>
      <c r="F17" s="36">
        <v>0.13</v>
      </c>
      <c r="G17" s="37">
        <f t="shared" si="4"/>
        <v>203292576.73000002</v>
      </c>
      <c r="H17" s="37">
        <f t="shared" si="4"/>
        <v>111341985.59</v>
      </c>
      <c r="I17" s="38">
        <f>G17-H17</f>
        <v>91950591.140000015</v>
      </c>
      <c r="J17" s="22"/>
      <c r="K17" s="22"/>
      <c r="L17" s="22"/>
      <c r="M17" s="22"/>
      <c r="N17" s="22">
        <v>3664601.77</v>
      </c>
      <c r="O17" s="22"/>
      <c r="P17" s="31">
        <v>222234.5</v>
      </c>
      <c r="Q17" s="22"/>
      <c r="R17" s="25">
        <v>18651915.940000001</v>
      </c>
      <c r="S17" s="25">
        <v>0</v>
      </c>
      <c r="T17" s="5">
        <v>53556347.57</v>
      </c>
      <c r="V17" s="26">
        <v>14543775.970000001</v>
      </c>
      <c r="W17" s="26">
        <v>0</v>
      </c>
      <c r="X17" s="26">
        <v>-9581572.6699999999</v>
      </c>
      <c r="Y17" s="5">
        <v>8347326.46</v>
      </c>
      <c r="Z17" s="5">
        <v>32102530.309999999</v>
      </c>
      <c r="AA17" s="5">
        <v>11020813.49</v>
      </c>
      <c r="AB17" s="5">
        <v>90132743.340000004</v>
      </c>
      <c r="AC17" s="5">
        <v>91973845.640000001</v>
      </c>
      <c r="AF17" s="5"/>
      <c r="AG17" s="5"/>
    </row>
    <row r="18" spans="2:37" x14ac:dyDescent="0.2">
      <c r="B18" s="32"/>
      <c r="C18" s="39">
        <v>4030</v>
      </c>
      <c r="D18" s="40"/>
      <c r="E18" s="35" t="s">
        <v>63</v>
      </c>
      <c r="F18" s="36">
        <v>0.09</v>
      </c>
      <c r="G18" s="37">
        <f t="shared" si="4"/>
        <v>213091605.73999998</v>
      </c>
      <c r="H18" s="37">
        <f t="shared" si="4"/>
        <v>188904465.15000001</v>
      </c>
      <c r="I18" s="38">
        <f>G18-H18</f>
        <v>24187140.589999974</v>
      </c>
      <c r="J18" s="22"/>
      <c r="K18" s="22"/>
      <c r="L18" s="22">
        <v>489233.5</v>
      </c>
      <c r="M18" s="22"/>
      <c r="N18" s="22">
        <v>9211423.5999999996</v>
      </c>
      <c r="O18" s="22">
        <v>45871559.640000001</v>
      </c>
      <c r="P18" s="31">
        <v>10406006.060000001</v>
      </c>
      <c r="Q18" s="47"/>
      <c r="R18" s="25">
        <v>14196012.84</v>
      </c>
      <c r="S18" s="25">
        <v>0</v>
      </c>
      <c r="T18" s="5">
        <v>12344909.74</v>
      </c>
      <c r="V18" s="26">
        <v>9578080.3599999994</v>
      </c>
      <c r="W18" s="26">
        <v>0</v>
      </c>
      <c r="X18" s="5">
        <v>15013766.529999999</v>
      </c>
      <c r="Y18" s="5">
        <v>18679331.690000001</v>
      </c>
      <c r="Z18" s="5">
        <v>37165437.439999998</v>
      </c>
      <c r="AA18" s="5">
        <v>9429091.4600000009</v>
      </c>
      <c r="AB18" s="5">
        <v>53132536.759999998</v>
      </c>
      <c r="AC18" s="5">
        <v>63370283.450000003</v>
      </c>
      <c r="AD18" s="5">
        <v>51554198.909999996</v>
      </c>
      <c r="AE18" s="5">
        <v>51554198.909999996</v>
      </c>
      <c r="AF18" s="5"/>
      <c r="AG18" s="5"/>
    </row>
    <row r="19" spans="2:37" x14ac:dyDescent="0.2">
      <c r="B19" s="32"/>
      <c r="C19" s="39">
        <v>4030</v>
      </c>
      <c r="D19" s="41"/>
      <c r="E19" s="35" t="s">
        <v>64</v>
      </c>
      <c r="F19" s="36">
        <v>0.06</v>
      </c>
      <c r="G19" s="37">
        <f t="shared" si="4"/>
        <v>8329405.2599999998</v>
      </c>
      <c r="H19" s="37">
        <f t="shared" si="4"/>
        <v>7940431.75</v>
      </c>
      <c r="I19" s="38">
        <f t="shared" ref="I19:I58" si="5">G19-H19</f>
        <v>388973.50999999978</v>
      </c>
      <c r="J19" s="22"/>
      <c r="K19" s="22"/>
      <c r="L19" s="22">
        <v>43891.61</v>
      </c>
      <c r="M19" s="22"/>
      <c r="N19" s="22">
        <v>685280.75</v>
      </c>
      <c r="O19" s="22"/>
      <c r="P19" s="31">
        <v>64486.14</v>
      </c>
      <c r="Q19" s="22"/>
      <c r="R19" s="25">
        <v>156301.32999999999</v>
      </c>
      <c r="S19" s="25">
        <v>60092.57</v>
      </c>
      <c r="T19" s="5">
        <v>3078319.53</v>
      </c>
      <c r="U19" s="5">
        <v>60296.37</v>
      </c>
      <c r="V19" s="26">
        <f>563843.01+91089.15</f>
        <v>654932.16</v>
      </c>
      <c r="W19" s="26">
        <v>91089.15</v>
      </c>
      <c r="X19" s="26">
        <v>165683.66</v>
      </c>
      <c r="Y19" s="5">
        <v>4427585.96</v>
      </c>
      <c r="Z19" s="5">
        <v>3031830.82</v>
      </c>
      <c r="AA19" s="5">
        <v>474936.19</v>
      </c>
      <c r="AB19" s="5">
        <v>448679.26</v>
      </c>
      <c r="AC19" s="5">
        <v>2826431.51</v>
      </c>
      <c r="AF19" s="5"/>
      <c r="AG19" s="5"/>
    </row>
    <row r="20" spans="2:37" x14ac:dyDescent="0.2">
      <c r="B20" s="32" t="s">
        <v>65</v>
      </c>
      <c r="C20" s="33">
        <v>4020</v>
      </c>
      <c r="D20" s="34" t="s">
        <v>70</v>
      </c>
      <c r="E20" s="35" t="s">
        <v>62</v>
      </c>
      <c r="F20" s="36">
        <v>0.13</v>
      </c>
      <c r="G20" s="37">
        <f t="shared" si="4"/>
        <v>105381364.31999999</v>
      </c>
      <c r="H20" s="37">
        <f t="shared" si="4"/>
        <v>107674054.37</v>
      </c>
      <c r="I20" s="38">
        <f t="shared" si="5"/>
        <v>-2292690.0500000119</v>
      </c>
      <c r="J20" s="22"/>
      <c r="K20" s="22"/>
      <c r="L20" s="22"/>
      <c r="M20" s="22">
        <v>2292690.0499999998</v>
      </c>
      <c r="N20" s="22">
        <v>10422345.18</v>
      </c>
      <c r="O20" s="22"/>
      <c r="P20" s="31"/>
      <c r="Q20" s="22"/>
      <c r="R20" s="25">
        <v>660150.80000000005</v>
      </c>
      <c r="S20" s="25">
        <v>0</v>
      </c>
      <c r="T20" s="5">
        <v>27073953.289999999</v>
      </c>
      <c r="V20" s="26">
        <v>3545901.08</v>
      </c>
      <c r="W20" s="26">
        <v>13168632.810000001</v>
      </c>
      <c r="X20" s="5">
        <v>11705115.32</v>
      </c>
      <c r="Y20" s="5">
        <v>3422302.68</v>
      </c>
      <c r="Z20" s="5">
        <v>51973898.649999999</v>
      </c>
      <c r="AA20" s="5">
        <v>36816530.18</v>
      </c>
      <c r="AF20" s="5"/>
      <c r="AG20" s="5"/>
      <c r="AI20" s="46">
        <v>51973898.649999999</v>
      </c>
    </row>
    <row r="21" spans="2:37" ht="13.5" customHeight="1" x14ac:dyDescent="0.2">
      <c r="B21" s="32"/>
      <c r="C21" s="39">
        <v>4020</v>
      </c>
      <c r="D21" s="40"/>
      <c r="E21" s="35" t="s">
        <v>63</v>
      </c>
      <c r="F21" s="36">
        <v>0.09</v>
      </c>
      <c r="G21" s="37">
        <f>SUM(J21,L21,N21,P21,R21,T21,V21,X21,Z21,AB21,AD21,AF21,AH21,AJ21,AL21,AN21,AP21,AR21,AU21,AW21,AY21,BC21,BG21)</f>
        <v>297213375.05000001</v>
      </c>
      <c r="H21" s="37">
        <f t="shared" si="4"/>
        <v>326816509.85000002</v>
      </c>
      <c r="I21" s="38">
        <f t="shared" si="5"/>
        <v>-29603134.800000012</v>
      </c>
      <c r="J21" s="22"/>
      <c r="K21" s="22"/>
      <c r="L21" s="22">
        <v>5244190.53</v>
      </c>
      <c r="M21" s="22">
        <v>29823783.23</v>
      </c>
      <c r="N21" s="22">
        <v>13660419.18</v>
      </c>
      <c r="O21" s="22">
        <v>164304832.94</v>
      </c>
      <c r="P21" s="31">
        <v>27909442.09</v>
      </c>
      <c r="Q21" s="22"/>
      <c r="R21" s="25">
        <v>19309600.649999999</v>
      </c>
      <c r="S21" s="25">
        <v>0</v>
      </c>
      <c r="T21" s="5">
        <v>12545272.710000001</v>
      </c>
      <c r="V21" s="26">
        <v>7283802.8300000001</v>
      </c>
      <c r="W21" s="26">
        <v>73424734.640000001</v>
      </c>
      <c r="X21" s="5">
        <v>8064138.7300000004</v>
      </c>
      <c r="Y21" s="5">
        <v>2271099.1</v>
      </c>
      <c r="Z21" s="5">
        <v>203196508.33000001</v>
      </c>
      <c r="AA21" s="5">
        <v>47672841.799999997</v>
      </c>
      <c r="AE21" s="5">
        <v>9319218.1400000006</v>
      </c>
      <c r="AF21" s="5"/>
      <c r="AG21" s="5"/>
    </row>
    <row r="22" spans="2:37" x14ac:dyDescent="0.2">
      <c r="B22" s="32"/>
      <c r="C22" s="39">
        <v>4020</v>
      </c>
      <c r="D22" s="41"/>
      <c r="E22" s="35" t="s">
        <v>64</v>
      </c>
      <c r="F22" s="36">
        <v>0.06</v>
      </c>
      <c r="G22" s="37">
        <f t="shared" si="4"/>
        <v>15200556.979999999</v>
      </c>
      <c r="H22" s="37">
        <f t="shared" si="4"/>
        <v>29092125.780000001</v>
      </c>
      <c r="I22" s="38">
        <f t="shared" si="5"/>
        <v>-13891568.800000003</v>
      </c>
      <c r="J22" s="22"/>
      <c r="K22" s="22"/>
      <c r="L22" s="22">
        <v>387382.3</v>
      </c>
      <c r="M22" s="22">
        <v>6720925.0700000003</v>
      </c>
      <c r="N22" s="22">
        <v>1991865.65</v>
      </c>
      <c r="O22" s="22">
        <v>614275.5</v>
      </c>
      <c r="P22" s="31">
        <v>1033444.78</v>
      </c>
      <c r="Q22" s="22"/>
      <c r="R22" s="25">
        <v>605451.16</v>
      </c>
      <c r="S22" s="25">
        <v>60092.57</v>
      </c>
      <c r="T22" s="5">
        <v>3642158.86</v>
      </c>
      <c r="U22" s="5">
        <v>60296.37</v>
      </c>
      <c r="V22" s="26">
        <f>451080.26+91089.15</f>
        <v>542169.41</v>
      </c>
      <c r="W22" s="26">
        <v>14187371.189999999</v>
      </c>
      <c r="X22" s="26">
        <v>453844.04</v>
      </c>
      <c r="Y22" s="5">
        <v>510396</v>
      </c>
      <c r="Z22" s="5">
        <v>5695184.1799999997</v>
      </c>
      <c r="AA22" s="5">
        <v>394528.3</v>
      </c>
      <c r="AD22" s="5">
        <v>849056.6</v>
      </c>
      <c r="AE22" s="5">
        <v>5695184.1799999997</v>
      </c>
      <c r="AF22" s="5"/>
      <c r="AG22" s="5">
        <v>849056.6</v>
      </c>
    </row>
    <row r="23" spans="2:37" x14ac:dyDescent="0.2">
      <c r="B23" s="32" t="s">
        <v>65</v>
      </c>
      <c r="C23" s="39">
        <v>2319</v>
      </c>
      <c r="D23" s="34" t="s">
        <v>71</v>
      </c>
      <c r="E23" s="35" t="s">
        <v>62</v>
      </c>
      <c r="F23" s="36">
        <v>0.13</v>
      </c>
      <c r="G23" s="37">
        <f t="shared" si="4"/>
        <v>121926121.99000001</v>
      </c>
      <c r="H23" s="37">
        <f t="shared" si="4"/>
        <v>144488841.50999999</v>
      </c>
      <c r="I23" s="38">
        <f t="shared" si="5"/>
        <v>-22562719.519999981</v>
      </c>
      <c r="J23" s="22"/>
      <c r="K23" s="22"/>
      <c r="L23" s="22">
        <v>3184412.86</v>
      </c>
      <c r="M23" s="22"/>
      <c r="N23" s="22"/>
      <c r="O23" s="22"/>
      <c r="P23" s="31">
        <v>3053970.59</v>
      </c>
      <c r="Q23" s="22"/>
      <c r="R23" s="25">
        <v>1591338.08</v>
      </c>
      <c r="S23" s="25">
        <v>0</v>
      </c>
      <c r="T23" s="5">
        <v>28616.54</v>
      </c>
      <c r="U23" s="5">
        <v>30132373.09</v>
      </c>
      <c r="V23" s="26">
        <v>22396947.550000001</v>
      </c>
      <c r="W23" s="26">
        <v>0</v>
      </c>
      <c r="X23" s="5">
        <v>23544880.98</v>
      </c>
      <c r="Y23" s="5">
        <v>0</v>
      </c>
      <c r="Z23" s="5">
        <v>68125955.390000001</v>
      </c>
      <c r="AA23" s="5">
        <v>54847.11</v>
      </c>
      <c r="AC23" s="5">
        <v>114041553.34999999</v>
      </c>
      <c r="AD23" s="5">
        <v>0</v>
      </c>
      <c r="AE23" s="5">
        <v>260067.96</v>
      </c>
      <c r="AF23" s="5"/>
      <c r="AG23" s="5"/>
    </row>
    <row r="24" spans="2:37" x14ac:dyDescent="0.2">
      <c r="B24" s="32"/>
      <c r="C24" s="39">
        <v>2319</v>
      </c>
      <c r="D24" s="40"/>
      <c r="E24" s="35" t="s">
        <v>63</v>
      </c>
      <c r="F24" s="36">
        <v>0.09</v>
      </c>
      <c r="G24" s="37">
        <f t="shared" si="4"/>
        <v>402984925.98000002</v>
      </c>
      <c r="H24" s="37">
        <f t="shared" si="4"/>
        <v>475991019.13999999</v>
      </c>
      <c r="I24" s="38">
        <f t="shared" si="5"/>
        <v>-73006093.159999967</v>
      </c>
      <c r="J24" s="22"/>
      <c r="K24" s="22"/>
      <c r="L24" s="22">
        <v>-493692.65</v>
      </c>
      <c r="M24" s="22"/>
      <c r="N24" s="22">
        <v>11024684.720000001</v>
      </c>
      <c r="O24" s="22"/>
      <c r="P24" s="31">
        <v>9616720.8900000006</v>
      </c>
      <c r="Q24" s="22"/>
      <c r="R24" s="25">
        <v>15488844.01</v>
      </c>
      <c r="S24" s="25">
        <v>0</v>
      </c>
      <c r="T24" s="5">
        <v>5873943.6600000001</v>
      </c>
      <c r="U24" s="5">
        <v>108642650.13</v>
      </c>
      <c r="V24" s="26">
        <v>8786601.4900000002</v>
      </c>
      <c r="W24" s="26">
        <v>0</v>
      </c>
      <c r="X24" s="5">
        <v>15887462.98</v>
      </c>
      <c r="Y24" s="5">
        <v>0</v>
      </c>
      <c r="Z24" s="5">
        <v>43577732.009999998</v>
      </c>
      <c r="AB24" s="5">
        <v>293966663.74000001</v>
      </c>
      <c r="AC24" s="5">
        <v>74125740.140000001</v>
      </c>
      <c r="AD24" s="5">
        <v>-744034.87</v>
      </c>
      <c r="AE24" s="5">
        <v>293222628.87</v>
      </c>
      <c r="AF24" s="5"/>
      <c r="AG24" s="5"/>
    </row>
    <row r="25" spans="2:37" x14ac:dyDescent="0.2">
      <c r="B25" s="32"/>
      <c r="C25" s="48">
        <v>2319</v>
      </c>
      <c r="D25" s="41"/>
      <c r="E25" s="35" t="s">
        <v>64</v>
      </c>
      <c r="F25" s="36">
        <v>0.06</v>
      </c>
      <c r="G25" s="37">
        <f t="shared" si="4"/>
        <v>12445292.389999999</v>
      </c>
      <c r="H25" s="37">
        <f t="shared" si="4"/>
        <v>25072323.950000003</v>
      </c>
      <c r="I25" s="38">
        <f t="shared" si="5"/>
        <v>-12627031.560000004</v>
      </c>
      <c r="J25" s="22"/>
      <c r="K25" s="22"/>
      <c r="L25" s="22"/>
      <c r="M25" s="22"/>
      <c r="N25" s="22"/>
      <c r="O25" s="22"/>
      <c r="P25" s="31">
        <v>572632.47</v>
      </c>
      <c r="Q25" s="22"/>
      <c r="R25" s="25">
        <v>1198794.77</v>
      </c>
      <c r="S25" s="25">
        <v>60092.57</v>
      </c>
      <c r="T25" s="5">
        <v>1933105.94</v>
      </c>
      <c r="U25" s="5">
        <v>15442086.970000001</v>
      </c>
      <c r="V25" s="26">
        <f>2056169.38+91089.15</f>
        <v>2147258.5299999998</v>
      </c>
      <c r="W25" s="26">
        <v>-1053820.3700000001</v>
      </c>
      <c r="X25" s="26">
        <v>1316111</v>
      </c>
      <c r="Y25" s="5">
        <v>59315.74</v>
      </c>
      <c r="Z25" s="5">
        <v>5207673.28</v>
      </c>
      <c r="AC25" s="5">
        <v>10494932.640000001</v>
      </c>
      <c r="AF25" s="5">
        <v>69716.399999999994</v>
      </c>
      <c r="AG25" s="5">
        <v>69716.399999999994</v>
      </c>
    </row>
    <row r="26" spans="2:37" x14ac:dyDescent="0.2">
      <c r="B26" s="32" t="s">
        <v>65</v>
      </c>
      <c r="C26" s="33">
        <v>2318</v>
      </c>
      <c r="D26" s="34" t="s">
        <v>72</v>
      </c>
      <c r="E26" s="35" t="s">
        <v>62</v>
      </c>
      <c r="F26" s="36">
        <v>0.13</v>
      </c>
      <c r="G26" s="37">
        <f t="shared" si="4"/>
        <v>91048577.599999994</v>
      </c>
      <c r="H26" s="37">
        <f t="shared" si="4"/>
        <v>94539001.900000006</v>
      </c>
      <c r="I26" s="38">
        <f t="shared" si="5"/>
        <v>-3490424.3000000119</v>
      </c>
      <c r="J26" s="22"/>
      <c r="K26" s="22"/>
      <c r="L26" s="22"/>
      <c r="M26" s="22"/>
      <c r="N26" s="22"/>
      <c r="O26" s="22"/>
      <c r="P26" s="31">
        <v>18248654.079999998</v>
      </c>
      <c r="Q26" s="22"/>
      <c r="R26" s="25">
        <v>14223008.859999999</v>
      </c>
      <c r="S26" s="25">
        <v>0</v>
      </c>
      <c r="T26" s="5">
        <v>24448245.690000001</v>
      </c>
      <c r="U26" s="5">
        <v>35962087.240000002</v>
      </c>
      <c r="V26" s="26">
        <v>6740165.0700000003</v>
      </c>
      <c r="W26" s="26">
        <v>0</v>
      </c>
      <c r="X26" s="26">
        <v>-3136197.95</v>
      </c>
      <c r="Y26" s="5">
        <v>0</v>
      </c>
      <c r="Z26" s="5">
        <v>30470274.800000001</v>
      </c>
      <c r="AB26" s="5">
        <v>54427.05</v>
      </c>
      <c r="AC26" s="5">
        <v>58576914.659999996</v>
      </c>
      <c r="AF26" s="5"/>
      <c r="AG26" s="5"/>
    </row>
    <row r="27" spans="2:37" x14ac:dyDescent="0.2">
      <c r="B27" s="32"/>
      <c r="C27" s="39">
        <v>2318</v>
      </c>
      <c r="D27" s="40"/>
      <c r="E27" s="35" t="s">
        <v>63</v>
      </c>
      <c r="F27" s="36">
        <v>0.09</v>
      </c>
      <c r="G27" s="37">
        <f t="shared" si="4"/>
        <v>238524098.45000002</v>
      </c>
      <c r="H27" s="37">
        <f t="shared" si="4"/>
        <v>277531961.56999999</v>
      </c>
      <c r="I27" s="38">
        <f t="shared" si="5"/>
        <v>-39007863.119999975</v>
      </c>
      <c r="J27" s="22"/>
      <c r="K27" s="22"/>
      <c r="L27" s="22">
        <v>-634747.69999999995</v>
      </c>
      <c r="M27" s="22"/>
      <c r="N27" s="22">
        <v>4893183.57</v>
      </c>
      <c r="O27" s="22"/>
      <c r="P27" s="31">
        <v>1363532.1</v>
      </c>
      <c r="Q27" s="22"/>
      <c r="R27" s="25">
        <v>7882465.7400000002</v>
      </c>
      <c r="S27" s="25">
        <v>0</v>
      </c>
      <c r="T27" s="5">
        <v>3424803.44</v>
      </c>
      <c r="U27" s="5">
        <v>52512296.829999998</v>
      </c>
      <c r="V27" s="26">
        <v>3477768.09</v>
      </c>
      <c r="W27" s="26">
        <v>0</v>
      </c>
      <c r="X27" s="26">
        <v>-545268.65</v>
      </c>
      <c r="Y27" s="5">
        <v>0</v>
      </c>
      <c r="Z27" s="5">
        <v>17266715.120000001</v>
      </c>
      <c r="AB27" s="5">
        <v>157287359.62</v>
      </c>
      <c r="AC27" s="5">
        <v>180911377.62</v>
      </c>
      <c r="AD27" s="5">
        <v>44108287.119999997</v>
      </c>
      <c r="AE27" s="5">
        <v>44108287.119999997</v>
      </c>
      <c r="AF27" s="5"/>
      <c r="AG27" s="5"/>
    </row>
    <row r="28" spans="2:37" x14ac:dyDescent="0.2">
      <c r="B28" s="32"/>
      <c r="C28" s="39">
        <v>2318</v>
      </c>
      <c r="D28" s="41"/>
      <c r="E28" s="35" t="s">
        <v>64</v>
      </c>
      <c r="F28" s="36">
        <v>0.06</v>
      </c>
      <c r="G28" s="37">
        <f t="shared" si="4"/>
        <v>9887422.3900000006</v>
      </c>
      <c r="H28" s="37">
        <f t="shared" si="4"/>
        <v>22107135.75</v>
      </c>
      <c r="I28" s="38">
        <f t="shared" si="5"/>
        <v>-12219713.359999999</v>
      </c>
      <c r="J28" s="22"/>
      <c r="K28" s="22"/>
      <c r="L28" s="22">
        <v>625546.26</v>
      </c>
      <c r="M28" s="22"/>
      <c r="N28" s="22">
        <v>721744.48</v>
      </c>
      <c r="O28" s="22"/>
      <c r="P28" s="31">
        <v>1109241.82</v>
      </c>
      <c r="Q28" s="22"/>
      <c r="R28" s="25">
        <v>848738.92</v>
      </c>
      <c r="S28" s="25">
        <v>45069.41</v>
      </c>
      <c r="T28" s="5">
        <v>1125155.5900000001</v>
      </c>
      <c r="U28" s="5">
        <v>16630790.279999999</v>
      </c>
      <c r="V28" s="26">
        <f>1480911.13+68316.91</f>
        <v>1549228.0399999998</v>
      </c>
      <c r="W28" s="26">
        <v>-935850.35</v>
      </c>
      <c r="X28" s="5">
        <v>281836.92</v>
      </c>
      <c r="Y28" s="5">
        <v>44486.75</v>
      </c>
      <c r="Z28" s="5">
        <v>3625930.36</v>
      </c>
      <c r="AC28" s="5">
        <v>6322639.6600000001</v>
      </c>
      <c r="AF28" s="5"/>
      <c r="AG28" s="5"/>
    </row>
    <row r="29" spans="2:37" x14ac:dyDescent="0.2">
      <c r="B29" s="32" t="s">
        <v>65</v>
      </c>
      <c r="C29" s="33" t="s">
        <v>73</v>
      </c>
      <c r="D29" s="34" t="s">
        <v>74</v>
      </c>
      <c r="E29" s="35" t="s">
        <v>62</v>
      </c>
      <c r="F29" s="36">
        <v>0.13</v>
      </c>
      <c r="G29" s="37">
        <f t="shared" si="4"/>
        <v>0</v>
      </c>
      <c r="H29" s="37">
        <f t="shared" si="4"/>
        <v>9836350.7799999993</v>
      </c>
      <c r="I29" s="38">
        <f t="shared" si="5"/>
        <v>-9836350.7799999993</v>
      </c>
      <c r="J29" s="22"/>
      <c r="K29" s="22"/>
      <c r="L29" s="22"/>
      <c r="M29" s="22"/>
      <c r="N29" s="22"/>
      <c r="O29" s="22"/>
      <c r="P29" s="31"/>
      <c r="Q29" s="22"/>
      <c r="R29" s="25"/>
      <c r="S29" s="25"/>
      <c r="V29" s="26">
        <v>0</v>
      </c>
      <c r="W29" s="26">
        <v>0</v>
      </c>
      <c r="X29" s="26">
        <v>0</v>
      </c>
      <c r="Y29" s="26">
        <v>0</v>
      </c>
      <c r="Z29" s="5">
        <v>117923.07</v>
      </c>
      <c r="AF29" s="5"/>
      <c r="AG29" s="5"/>
      <c r="AH29" s="5">
        <v>-117923.07</v>
      </c>
      <c r="AJ29" s="3">
        <v>0</v>
      </c>
      <c r="AK29" s="3">
        <v>9836350.7799999993</v>
      </c>
    </row>
    <row r="30" spans="2:37" x14ac:dyDescent="0.2">
      <c r="B30" s="32"/>
      <c r="C30" s="39" t="s">
        <v>73</v>
      </c>
      <c r="D30" s="40"/>
      <c r="E30" s="35" t="s">
        <v>63</v>
      </c>
      <c r="F30" s="36">
        <v>0.09</v>
      </c>
      <c r="G30" s="37">
        <f t="shared" si="4"/>
        <v>2073641.77</v>
      </c>
      <c r="H30" s="37">
        <f t="shared" si="4"/>
        <v>30988092.489999998</v>
      </c>
      <c r="I30" s="38">
        <f t="shared" si="5"/>
        <v>-28914450.719999999</v>
      </c>
      <c r="J30" s="22"/>
      <c r="K30" s="22"/>
      <c r="L30" s="22"/>
      <c r="M30" s="22"/>
      <c r="N30" s="22"/>
      <c r="O30" s="22"/>
      <c r="P30" s="31"/>
      <c r="Q30" s="22"/>
      <c r="R30" s="25"/>
      <c r="S30" s="25"/>
      <c r="V30" s="26">
        <v>0</v>
      </c>
      <c r="W30" s="26">
        <v>0</v>
      </c>
      <c r="X30" s="26">
        <v>0</v>
      </c>
      <c r="Y30" s="26">
        <v>0</v>
      </c>
      <c r="Z30" s="5">
        <v>2073641.77</v>
      </c>
      <c r="AF30" s="5"/>
      <c r="AG30" s="5"/>
      <c r="AI30" s="46">
        <v>30988092.489999998</v>
      </c>
    </row>
    <row r="31" spans="2:37" x14ac:dyDescent="0.2">
      <c r="B31" s="32"/>
      <c r="C31" s="39" t="s">
        <v>73</v>
      </c>
      <c r="D31" s="41"/>
      <c r="E31" s="35" t="s">
        <v>64</v>
      </c>
      <c r="F31" s="36">
        <v>0.06</v>
      </c>
      <c r="G31" s="37">
        <f t="shared" si="4"/>
        <v>1726122.17</v>
      </c>
      <c r="H31" s="37">
        <f t="shared" si="4"/>
        <v>8077291.4199999999</v>
      </c>
      <c r="I31" s="38">
        <f t="shared" si="5"/>
        <v>-6351169.25</v>
      </c>
      <c r="J31" s="22"/>
      <c r="K31" s="22"/>
      <c r="L31" s="22">
        <v>1262584.23</v>
      </c>
      <c r="M31" s="22"/>
      <c r="N31" s="22">
        <v>112007.19</v>
      </c>
      <c r="O31" s="22"/>
      <c r="P31" s="31"/>
      <c r="Q31" s="22">
        <v>7725760.6799999997</v>
      </c>
      <c r="R31" s="25"/>
      <c r="S31" s="25"/>
      <c r="U31" s="5">
        <v>0</v>
      </c>
      <c r="V31" s="26">
        <v>0</v>
      </c>
      <c r="W31" s="26">
        <v>0</v>
      </c>
      <c r="X31" s="26">
        <v>0</v>
      </c>
      <c r="Y31" s="26">
        <v>0</v>
      </c>
      <c r="Z31" s="5">
        <v>351530.75</v>
      </c>
      <c r="AF31" s="5"/>
      <c r="AG31" s="5"/>
      <c r="AJ31" s="3">
        <v>0</v>
      </c>
      <c r="AK31" s="3">
        <v>351530.74</v>
      </c>
    </row>
    <row r="32" spans="2:37" x14ac:dyDescent="0.2">
      <c r="B32" s="32" t="s">
        <v>65</v>
      </c>
      <c r="C32" s="33">
        <v>1080</v>
      </c>
      <c r="D32" s="34" t="s">
        <v>75</v>
      </c>
      <c r="E32" s="35" t="s">
        <v>62</v>
      </c>
      <c r="F32" s="36">
        <v>0.13</v>
      </c>
      <c r="G32" s="37">
        <f t="shared" si="4"/>
        <v>0</v>
      </c>
      <c r="H32" s="37">
        <f t="shared" si="4"/>
        <v>0</v>
      </c>
      <c r="I32" s="38">
        <f t="shared" si="5"/>
        <v>0</v>
      </c>
      <c r="J32" s="22"/>
      <c r="K32" s="22"/>
      <c r="L32" s="22"/>
      <c r="M32" s="22"/>
      <c r="N32" s="22"/>
      <c r="O32" s="22"/>
      <c r="P32" s="31"/>
      <c r="Q32" s="22"/>
      <c r="R32" s="25"/>
      <c r="S32" s="25"/>
      <c r="Y32" s="26"/>
      <c r="AF32" s="5"/>
      <c r="AG32" s="5"/>
    </row>
    <row r="33" spans="2:52" x14ac:dyDescent="0.2">
      <c r="B33" s="32"/>
      <c r="C33" s="39">
        <v>1080</v>
      </c>
      <c r="D33" s="40"/>
      <c r="E33" s="35" t="s">
        <v>63</v>
      </c>
      <c r="F33" s="36">
        <v>0.09</v>
      </c>
      <c r="G33" s="37">
        <f t="shared" si="4"/>
        <v>0</v>
      </c>
      <c r="H33" s="37">
        <f t="shared" si="4"/>
        <v>379237.83</v>
      </c>
      <c r="I33" s="38">
        <f t="shared" si="5"/>
        <v>-379237.83</v>
      </c>
      <c r="J33" s="22"/>
      <c r="K33" s="22"/>
      <c r="L33" s="22"/>
      <c r="M33" s="22"/>
      <c r="N33" s="22"/>
      <c r="O33" s="22"/>
      <c r="P33" s="31"/>
      <c r="Q33" s="22"/>
      <c r="R33" s="25"/>
      <c r="S33" s="25"/>
      <c r="Y33" s="26"/>
      <c r="AF33" s="5"/>
      <c r="AG33" s="5"/>
      <c r="AI33" s="46">
        <v>379237.83</v>
      </c>
    </row>
    <row r="34" spans="2:52" x14ac:dyDescent="0.2">
      <c r="B34" s="32"/>
      <c r="C34" s="39">
        <v>1080</v>
      </c>
      <c r="D34" s="41"/>
      <c r="E34" s="35" t="s">
        <v>64</v>
      </c>
      <c r="F34" s="36">
        <v>0.06</v>
      </c>
      <c r="G34" s="37">
        <f t="shared" si="4"/>
        <v>0</v>
      </c>
      <c r="H34" s="37">
        <f t="shared" si="4"/>
        <v>475794.07</v>
      </c>
      <c r="I34" s="38">
        <f t="shared" si="5"/>
        <v>-475794.07</v>
      </c>
      <c r="J34" s="22"/>
      <c r="K34" s="22"/>
      <c r="L34" s="22"/>
      <c r="M34" s="22"/>
      <c r="N34" s="22"/>
      <c r="O34" s="22"/>
      <c r="P34" s="31"/>
      <c r="Q34" s="22"/>
      <c r="R34" s="25"/>
      <c r="S34" s="25"/>
      <c r="Y34" s="26"/>
      <c r="AF34" s="5"/>
      <c r="AG34" s="5"/>
      <c r="AI34" s="46">
        <v>475794.07</v>
      </c>
    </row>
    <row r="35" spans="2:52" x14ac:dyDescent="0.2">
      <c r="B35" s="32" t="s">
        <v>65</v>
      </c>
      <c r="C35" s="33">
        <v>1080</v>
      </c>
      <c r="D35" s="34" t="s">
        <v>76</v>
      </c>
      <c r="E35" s="35" t="s">
        <v>62</v>
      </c>
      <c r="F35" s="36">
        <v>0.13</v>
      </c>
      <c r="G35" s="37">
        <f t="shared" si="4"/>
        <v>218183037.44999999</v>
      </c>
      <c r="H35" s="37">
        <f t="shared" si="4"/>
        <v>207728813.11999997</v>
      </c>
      <c r="I35" s="38">
        <f t="shared" si="5"/>
        <v>10454224.330000013</v>
      </c>
      <c r="J35" s="22"/>
      <c r="K35" s="22"/>
      <c r="L35" s="22"/>
      <c r="M35" s="22"/>
      <c r="N35" s="22">
        <v>22944611.219999999</v>
      </c>
      <c r="O35" s="22"/>
      <c r="P35" s="31">
        <v>9632042.6400000006</v>
      </c>
      <c r="Q35" s="22">
        <v>21162439.18</v>
      </c>
      <c r="R35" s="25">
        <v>35911880.469999999</v>
      </c>
      <c r="S35" s="25">
        <v>11414214.68</v>
      </c>
      <c r="T35" s="5">
        <v>10896695.039999999</v>
      </c>
      <c r="V35" s="26">
        <v>106289807.45</v>
      </c>
      <c r="W35" s="26">
        <v>36354351.18</v>
      </c>
      <c r="X35" s="5">
        <v>4407911.8099999996</v>
      </c>
      <c r="Y35" s="5">
        <v>83150388.939999998</v>
      </c>
      <c r="Z35" s="5">
        <v>28100088.82</v>
      </c>
      <c r="AA35" s="5">
        <v>27533528.18</v>
      </c>
      <c r="AE35" s="5">
        <v>4012784.76</v>
      </c>
      <c r="AF35" s="5"/>
      <c r="AG35" s="5"/>
      <c r="AI35" s="46">
        <v>24101106.199999999</v>
      </c>
    </row>
    <row r="36" spans="2:52" x14ac:dyDescent="0.2">
      <c r="B36" s="32"/>
      <c r="C36" s="39">
        <v>1080</v>
      </c>
      <c r="D36" s="40"/>
      <c r="E36" s="35" t="s">
        <v>63</v>
      </c>
      <c r="F36" s="36">
        <v>0.09</v>
      </c>
      <c r="G36" s="37">
        <f t="shared" si="4"/>
        <v>1183315548.3400002</v>
      </c>
      <c r="H36" s="37">
        <f t="shared" si="4"/>
        <v>1097680496.02</v>
      </c>
      <c r="I36" s="38">
        <f t="shared" si="5"/>
        <v>85635052.320000172</v>
      </c>
      <c r="J36" s="22"/>
      <c r="K36" s="22"/>
      <c r="L36" s="22">
        <v>2011104.09</v>
      </c>
      <c r="M36" s="22"/>
      <c r="N36" s="22">
        <v>16149385.24</v>
      </c>
      <c r="O36" s="22"/>
      <c r="P36" s="31">
        <v>24831318.77</v>
      </c>
      <c r="Q36" s="22"/>
      <c r="R36" s="25">
        <v>29735687.109999999</v>
      </c>
      <c r="S36" s="25">
        <v>49099875.030000001</v>
      </c>
      <c r="T36" s="5">
        <v>158685860.58000001</v>
      </c>
      <c r="U36" s="5">
        <v>137614678.90000001</v>
      </c>
      <c r="V36" s="26">
        <v>171895105.94999999</v>
      </c>
      <c r="W36" s="26">
        <v>206770171.53999999</v>
      </c>
      <c r="X36" s="5">
        <v>117305843.02</v>
      </c>
      <c r="Y36" s="5">
        <v>127337229.25</v>
      </c>
      <c r="Z36" s="5">
        <v>75373568.370000005</v>
      </c>
      <c r="AA36" s="5">
        <v>28836196.789999999</v>
      </c>
      <c r="AD36" s="5">
        <v>587327675.21000004</v>
      </c>
      <c r="AE36" s="5">
        <v>144180907.80000001</v>
      </c>
      <c r="AF36" s="5"/>
      <c r="AG36" s="5">
        <v>275229357.80000001</v>
      </c>
      <c r="AI36" s="46">
        <v>128612078.91</v>
      </c>
      <c r="AN36" s="3">
        <v>-91743119.25</v>
      </c>
      <c r="AP36" s="3">
        <v>91743119.25</v>
      </c>
    </row>
    <row r="37" spans="2:52" x14ac:dyDescent="0.2">
      <c r="B37" s="32"/>
      <c r="C37" s="39">
        <v>1080</v>
      </c>
      <c r="D37" s="41"/>
      <c r="E37" s="35" t="s">
        <v>64</v>
      </c>
      <c r="F37" s="36">
        <v>0.06</v>
      </c>
      <c r="G37" s="37">
        <f t="shared" si="4"/>
        <v>20771258.767665289</v>
      </c>
      <c r="H37" s="37">
        <f t="shared" si="4"/>
        <v>22230480.600000001</v>
      </c>
      <c r="I37" s="38">
        <f t="shared" si="5"/>
        <v>-1459221.8323347121</v>
      </c>
      <c r="J37" s="22"/>
      <c r="K37" s="22"/>
      <c r="L37" s="22">
        <v>439078.6</v>
      </c>
      <c r="M37" s="22"/>
      <c r="N37" s="22">
        <v>1226790.19</v>
      </c>
      <c r="O37" s="22"/>
      <c r="P37" s="31">
        <v>-113038.25</v>
      </c>
      <c r="Q37" s="22">
        <v>2831283.82</v>
      </c>
      <c r="R37" s="25">
        <v>60092.57</v>
      </c>
      <c r="S37" s="25">
        <v>60092.57</v>
      </c>
      <c r="T37" s="5">
        <v>472894.22</v>
      </c>
      <c r="U37" s="5">
        <v>60296.37</v>
      </c>
      <c r="V37" s="26">
        <f>7294630.9+91089.15</f>
        <v>7385720.0500000007</v>
      </c>
      <c r="W37" s="26">
        <v>684455.55</v>
      </c>
      <c r="X37" s="26">
        <v>2150705.65</v>
      </c>
      <c r="Y37" s="5">
        <v>7353946.6399999997</v>
      </c>
      <c r="Z37" s="5">
        <v>9149015.73766529</v>
      </c>
      <c r="AA37" s="5">
        <v>2091389.91</v>
      </c>
      <c r="AE37" s="5">
        <v>9149015.7400000002</v>
      </c>
      <c r="AF37" s="5"/>
      <c r="AG37" s="5"/>
    </row>
    <row r="38" spans="2:52" x14ac:dyDescent="0.2">
      <c r="B38" s="32" t="s">
        <v>65</v>
      </c>
      <c r="C38" s="33">
        <v>1080</v>
      </c>
      <c r="D38" s="34" t="s">
        <v>77</v>
      </c>
      <c r="E38" s="35" t="s">
        <v>62</v>
      </c>
      <c r="F38" s="36">
        <v>0.13</v>
      </c>
      <c r="G38" s="37">
        <f t="shared" si="4"/>
        <v>131845843.70000002</v>
      </c>
      <c r="H38" s="37">
        <f t="shared" si="4"/>
        <v>142300068.02999997</v>
      </c>
      <c r="I38" s="38">
        <f t="shared" si="5"/>
        <v>-10454224.329999954</v>
      </c>
      <c r="J38" s="22"/>
      <c r="K38" s="22"/>
      <c r="L38" s="22"/>
      <c r="M38" s="22"/>
      <c r="N38" s="22">
        <v>11498520.92</v>
      </c>
      <c r="O38" s="22"/>
      <c r="P38" s="31">
        <v>7347191.0899999999</v>
      </c>
      <c r="Q38" s="22">
        <v>11498520.92</v>
      </c>
      <c r="R38" s="25">
        <v>6781679.0800000001</v>
      </c>
      <c r="S38" s="25">
        <v>7347191.0899999999</v>
      </c>
      <c r="T38" s="5">
        <v>0.02</v>
      </c>
      <c r="V38" s="26">
        <v>80139398.260000005</v>
      </c>
      <c r="W38" s="26">
        <v>17235903.43</v>
      </c>
      <c r="X38" s="5">
        <v>4038990.73</v>
      </c>
      <c r="Y38" s="5">
        <v>0</v>
      </c>
      <c r="Z38" s="5">
        <v>22040063.600000001</v>
      </c>
      <c r="AA38" s="5">
        <v>84178388.989999995</v>
      </c>
      <c r="AE38" s="5">
        <v>15258590.84</v>
      </c>
      <c r="AF38" s="5"/>
      <c r="AG38" s="5"/>
      <c r="AI38" s="46">
        <v>6781472.7599999998</v>
      </c>
    </row>
    <row r="39" spans="2:52" x14ac:dyDescent="0.2">
      <c r="B39" s="32"/>
      <c r="C39" s="39">
        <v>1080</v>
      </c>
      <c r="D39" s="40"/>
      <c r="E39" s="35" t="s">
        <v>63</v>
      </c>
      <c r="F39" s="36">
        <v>0.09</v>
      </c>
      <c r="G39" s="37">
        <f t="shared" si="4"/>
        <v>457510576.70000005</v>
      </c>
      <c r="H39" s="37">
        <f t="shared" si="4"/>
        <v>459963312.14999998</v>
      </c>
      <c r="I39" s="38">
        <f t="shared" si="5"/>
        <v>-2452735.4499999285</v>
      </c>
      <c r="J39" s="22"/>
      <c r="K39" s="22"/>
      <c r="L39" s="22">
        <v>498586.12</v>
      </c>
      <c r="M39" s="22"/>
      <c r="N39" s="22">
        <v>5439135.9100000001</v>
      </c>
      <c r="O39" s="22"/>
      <c r="P39" s="31">
        <v>15436789.9</v>
      </c>
      <c r="Q39" s="22"/>
      <c r="R39" s="25">
        <v>23070802.629999999</v>
      </c>
      <c r="S39" s="25">
        <v>23827247.379999999</v>
      </c>
      <c r="T39" s="5">
        <v>27932491.84</v>
      </c>
      <c r="V39" s="26">
        <v>33910822.82</v>
      </c>
      <c r="W39" s="26">
        <v>51003294.469999999</v>
      </c>
      <c r="X39" s="5">
        <v>24149722.219999999</v>
      </c>
      <c r="Y39" s="5">
        <v>21902159.039999999</v>
      </c>
      <c r="Z39" s="5">
        <v>25856794.710000001</v>
      </c>
      <c r="AA39" s="5">
        <v>36158386</v>
      </c>
      <c r="AD39" s="5">
        <v>301215430.55000001</v>
      </c>
      <c r="AE39" s="5">
        <v>327072225.25999999</v>
      </c>
      <c r="AF39" s="5"/>
      <c r="AG39" s="5"/>
    </row>
    <row r="40" spans="2:52" x14ac:dyDescent="0.2">
      <c r="B40" s="32"/>
      <c r="C40" s="39">
        <v>1080</v>
      </c>
      <c r="D40" s="41"/>
      <c r="E40" s="35" t="s">
        <v>64</v>
      </c>
      <c r="F40" s="36">
        <v>0.06</v>
      </c>
      <c r="G40" s="37">
        <f t="shared" si="4"/>
        <v>16797952.739999998</v>
      </c>
      <c r="H40" s="37">
        <f t="shared" si="4"/>
        <v>19963111.030000001</v>
      </c>
      <c r="I40" s="38">
        <f t="shared" si="5"/>
        <v>-3165158.2900000028</v>
      </c>
      <c r="J40" s="22"/>
      <c r="K40" s="22"/>
      <c r="L40" s="22">
        <v>404945.11</v>
      </c>
      <c r="M40" s="22"/>
      <c r="N40" s="22">
        <v>887361.61</v>
      </c>
      <c r="O40" s="22"/>
      <c r="P40" s="31">
        <v>-78904.759999999995</v>
      </c>
      <c r="Q40" s="22">
        <v>4197791.72</v>
      </c>
      <c r="R40" s="25">
        <v>60092.57</v>
      </c>
      <c r="S40" s="25">
        <v>60092.57</v>
      </c>
      <c r="T40" s="5">
        <v>652067.30000000005</v>
      </c>
      <c r="U40" s="5">
        <v>60296.37</v>
      </c>
      <c r="V40" s="26">
        <f>5996293.68+91089.15</f>
        <v>6087382.8300000001</v>
      </c>
      <c r="W40" s="26">
        <v>863628.63</v>
      </c>
      <c r="X40" s="26">
        <v>1635477.45</v>
      </c>
      <c r="Y40" s="5">
        <v>59315.74</v>
      </c>
      <c r="Z40" s="5">
        <v>7149530.6299999999</v>
      </c>
      <c r="AA40" s="5">
        <v>7572455.3899999997</v>
      </c>
      <c r="AE40" s="5">
        <v>7149530.6100000003</v>
      </c>
      <c r="AF40" s="5"/>
      <c r="AG40" s="5"/>
    </row>
    <row r="41" spans="2:52" x14ac:dyDescent="0.2">
      <c r="B41" s="32" t="s">
        <v>65</v>
      </c>
      <c r="C41" s="33">
        <v>2316</v>
      </c>
      <c r="D41" s="34" t="s">
        <v>78</v>
      </c>
      <c r="E41" s="35" t="s">
        <v>62</v>
      </c>
      <c r="F41" s="36">
        <v>0.13</v>
      </c>
      <c r="G41" s="37">
        <f t="shared" si="4"/>
        <v>3526106.2</v>
      </c>
      <c r="H41" s="37">
        <f t="shared" si="4"/>
        <v>3526106.2</v>
      </c>
      <c r="I41" s="38">
        <f t="shared" si="5"/>
        <v>0</v>
      </c>
      <c r="J41" s="22"/>
      <c r="K41" s="22"/>
      <c r="L41" s="22"/>
      <c r="M41" s="22"/>
      <c r="N41" s="22"/>
      <c r="O41" s="22"/>
      <c r="P41" s="31"/>
      <c r="Q41" s="22"/>
      <c r="R41" s="25"/>
      <c r="S41" s="25"/>
      <c r="V41" s="26">
        <v>0</v>
      </c>
      <c r="W41" s="26">
        <v>0</v>
      </c>
      <c r="X41" s="5">
        <v>0</v>
      </c>
      <c r="Y41" s="5">
        <v>0</v>
      </c>
      <c r="AD41" s="5">
        <v>3526106.2</v>
      </c>
      <c r="AF41" s="5"/>
      <c r="AG41" s="5"/>
      <c r="AK41" s="3">
        <v>3526106.2</v>
      </c>
    </row>
    <row r="42" spans="2:52" x14ac:dyDescent="0.2">
      <c r="B42" s="32"/>
      <c r="C42" s="39">
        <v>2316</v>
      </c>
      <c r="D42" s="40"/>
      <c r="E42" s="35" t="s">
        <v>63</v>
      </c>
      <c r="F42" s="36">
        <v>0.09</v>
      </c>
      <c r="G42" s="37">
        <f t="shared" si="4"/>
        <v>0</v>
      </c>
      <c r="H42" s="37">
        <f t="shared" si="4"/>
        <v>0</v>
      </c>
      <c r="I42" s="38">
        <f t="shared" si="5"/>
        <v>0</v>
      </c>
      <c r="J42" s="22"/>
      <c r="K42" s="22"/>
      <c r="L42" s="22"/>
      <c r="M42" s="22"/>
      <c r="N42" s="22"/>
      <c r="O42" s="22"/>
      <c r="P42" s="31"/>
      <c r="Q42" s="22"/>
      <c r="R42" s="25"/>
      <c r="S42" s="25"/>
      <c r="V42" s="26">
        <v>0</v>
      </c>
      <c r="W42" s="26">
        <v>0</v>
      </c>
      <c r="X42" s="5">
        <v>0</v>
      </c>
      <c r="Y42" s="5">
        <v>0</v>
      </c>
      <c r="AF42" s="5"/>
      <c r="AG42" s="5"/>
    </row>
    <row r="43" spans="2:52" x14ac:dyDescent="0.2">
      <c r="B43" s="32"/>
      <c r="C43" s="39">
        <v>2316</v>
      </c>
      <c r="D43" s="41"/>
      <c r="E43" s="35" t="s">
        <v>64</v>
      </c>
      <c r="F43" s="36">
        <v>0.06</v>
      </c>
      <c r="G43" s="37">
        <f t="shared" si="4"/>
        <v>3187758.42</v>
      </c>
      <c r="H43" s="37">
        <f t="shared" si="4"/>
        <v>10589330.190000001</v>
      </c>
      <c r="I43" s="38">
        <f t="shared" si="5"/>
        <v>-7401571.7700000014</v>
      </c>
      <c r="J43" s="22"/>
      <c r="K43" s="22"/>
      <c r="L43" s="22">
        <f>-6425985.71+6471185.29</f>
        <v>45199.580000000075</v>
      </c>
      <c r="M43" s="22">
        <v>6439798.5599999996</v>
      </c>
      <c r="N43" s="22">
        <v>54164.39</v>
      </c>
      <c r="O43" s="22"/>
      <c r="P43" s="31">
        <v>832458.31</v>
      </c>
      <c r="Q43" s="22">
        <v>1061137.18</v>
      </c>
      <c r="R43" s="25">
        <v>313557.90999999997</v>
      </c>
      <c r="S43" s="25">
        <v>60092.570000000102</v>
      </c>
      <c r="T43" s="5">
        <v>60296.37</v>
      </c>
      <c r="U43" s="5">
        <v>110522.47</v>
      </c>
      <c r="V43" s="26">
        <f>119624.91+91089.15</f>
        <v>210714.06</v>
      </c>
      <c r="W43" s="26">
        <v>91089.15</v>
      </c>
      <c r="X43" s="26">
        <v>753655.36</v>
      </c>
      <c r="Y43" s="5">
        <v>59315.74</v>
      </c>
      <c r="Z43" s="5">
        <v>45119.28</v>
      </c>
      <c r="AA43" s="5">
        <v>45119.28</v>
      </c>
      <c r="AB43" s="5">
        <v>95097.08</v>
      </c>
      <c r="AC43" s="5">
        <v>95097.08</v>
      </c>
      <c r="AD43" s="5">
        <v>71287.13</v>
      </c>
      <c r="AF43" s="5"/>
      <c r="AG43" s="5">
        <v>1849662.08</v>
      </c>
      <c r="AK43" s="3">
        <v>71287.13</v>
      </c>
      <c r="AP43" s="3">
        <v>284905.65999999997</v>
      </c>
      <c r="AQ43" s="3">
        <v>284905.65999999997</v>
      </c>
      <c r="AR43" s="3">
        <v>201165.05</v>
      </c>
      <c r="AS43" s="5">
        <v>201165.05</v>
      </c>
      <c r="AW43" s="5">
        <v>220138.23999999999</v>
      </c>
      <c r="AZ43" s="3">
        <v>220138.23999999999</v>
      </c>
    </row>
    <row r="44" spans="2:52" x14ac:dyDescent="0.2">
      <c r="B44" s="32" t="s">
        <v>65</v>
      </c>
      <c r="C44" s="33">
        <v>2026</v>
      </c>
      <c r="D44" s="34" t="s">
        <v>79</v>
      </c>
      <c r="E44" s="35" t="s">
        <v>62</v>
      </c>
      <c r="F44" s="36">
        <v>0.13</v>
      </c>
      <c r="G44" s="37">
        <f t="shared" si="4"/>
        <v>0</v>
      </c>
      <c r="H44" s="37">
        <f t="shared" si="4"/>
        <v>31750112.719999999</v>
      </c>
      <c r="I44" s="38">
        <f t="shared" si="5"/>
        <v>-31750112.719999999</v>
      </c>
      <c r="J44" s="22"/>
      <c r="K44" s="22"/>
      <c r="L44" s="22"/>
      <c r="M44" s="22">
        <v>31750112.719999999</v>
      </c>
      <c r="N44" s="22"/>
      <c r="O44" s="22"/>
      <c r="P44" s="31"/>
      <c r="Q44" s="22"/>
      <c r="R44" s="25"/>
      <c r="S44" s="25"/>
      <c r="V44" s="26">
        <v>0</v>
      </c>
      <c r="W44" s="26">
        <v>0</v>
      </c>
      <c r="X44" s="26">
        <v>0</v>
      </c>
      <c r="Y44" s="26">
        <v>0</v>
      </c>
      <c r="AF44" s="5"/>
      <c r="AG44" s="5"/>
    </row>
    <row r="45" spans="2:52" x14ac:dyDescent="0.2">
      <c r="B45" s="32"/>
      <c r="C45" s="39">
        <v>2026</v>
      </c>
      <c r="D45" s="40"/>
      <c r="E45" s="35" t="s">
        <v>63</v>
      </c>
      <c r="F45" s="36">
        <v>0.09</v>
      </c>
      <c r="G45" s="37">
        <f t="shared" si="4"/>
        <v>0</v>
      </c>
      <c r="H45" s="37">
        <f t="shared" si="4"/>
        <v>33171635.899999999</v>
      </c>
      <c r="I45" s="38">
        <f t="shared" si="5"/>
        <v>-33171635.899999999</v>
      </c>
      <c r="J45" s="22"/>
      <c r="K45" s="22"/>
      <c r="L45" s="22"/>
      <c r="M45" s="22">
        <v>33171635.899999999</v>
      </c>
      <c r="N45" s="22"/>
      <c r="O45" s="22"/>
      <c r="P45" s="31"/>
      <c r="Q45" s="22"/>
      <c r="R45" s="25"/>
      <c r="S45" s="25"/>
      <c r="V45" s="26">
        <v>0</v>
      </c>
      <c r="W45" s="26">
        <v>0</v>
      </c>
      <c r="X45" s="26">
        <v>0</v>
      </c>
      <c r="Y45" s="26">
        <v>0</v>
      </c>
      <c r="AF45" s="5"/>
      <c r="AG45" s="5"/>
    </row>
    <row r="46" spans="2:52" x14ac:dyDescent="0.2">
      <c r="B46" s="32"/>
      <c r="C46" s="39">
        <v>2026</v>
      </c>
      <c r="D46" s="41"/>
      <c r="E46" s="35" t="s">
        <v>64</v>
      </c>
      <c r="F46" s="36">
        <v>0.06</v>
      </c>
      <c r="G46" s="37">
        <f t="shared" si="4"/>
        <v>235849.06</v>
      </c>
      <c r="H46" s="37">
        <f t="shared" si="4"/>
        <v>4299686.97</v>
      </c>
      <c r="I46" s="38">
        <f t="shared" si="5"/>
        <v>-4063837.9099999997</v>
      </c>
      <c r="J46" s="22"/>
      <c r="K46" s="22"/>
      <c r="L46" s="22">
        <v>235849.06</v>
      </c>
      <c r="M46" s="22">
        <v>4299686.97</v>
      </c>
      <c r="N46" s="22"/>
      <c r="O46" s="22"/>
      <c r="P46" s="31"/>
      <c r="Q46" s="22"/>
      <c r="R46" s="25"/>
      <c r="S46" s="25"/>
      <c r="V46" s="26">
        <v>0</v>
      </c>
      <c r="W46" s="26">
        <v>0</v>
      </c>
      <c r="X46" s="26">
        <v>0</v>
      </c>
      <c r="Y46" s="26">
        <v>0</v>
      </c>
      <c r="AF46" s="5"/>
      <c r="AG46" s="5"/>
    </row>
    <row r="47" spans="2:52" x14ac:dyDescent="0.2">
      <c r="B47" s="32" t="s">
        <v>65</v>
      </c>
      <c r="C47" s="39">
        <v>3314</v>
      </c>
      <c r="D47" s="34" t="s">
        <v>80</v>
      </c>
      <c r="E47" s="35" t="s">
        <v>62</v>
      </c>
      <c r="F47" s="36">
        <v>0.13</v>
      </c>
      <c r="G47" s="37">
        <f t="shared" si="4"/>
        <v>70891362.969999999</v>
      </c>
      <c r="H47" s="37">
        <f t="shared" si="4"/>
        <v>91744118.649999991</v>
      </c>
      <c r="I47" s="38">
        <f t="shared" si="5"/>
        <v>-20852755.679999992</v>
      </c>
      <c r="J47" s="22"/>
      <c r="K47" s="22"/>
      <c r="L47" s="22">
        <v>12608407.08</v>
      </c>
      <c r="M47" s="22"/>
      <c r="N47" s="22">
        <v>13606194.68</v>
      </c>
      <c r="O47" s="22"/>
      <c r="P47" s="31">
        <v>13606194.68</v>
      </c>
      <c r="Q47" s="22">
        <v>47067357.439999998</v>
      </c>
      <c r="R47" s="25">
        <v>13661517.470000001</v>
      </c>
      <c r="S47" s="25">
        <v>13606194.68</v>
      </c>
      <c r="T47" s="5">
        <v>6803097.3399999999</v>
      </c>
      <c r="V47" s="26">
        <v>3473441.92</v>
      </c>
      <c r="W47" s="26">
        <v>20464614.809999999</v>
      </c>
      <c r="X47" s="5">
        <v>1224583.22</v>
      </c>
      <c r="Y47" s="5">
        <v>0</v>
      </c>
      <c r="Z47" s="5">
        <v>5907926.5800000001</v>
      </c>
      <c r="AA47" s="5">
        <v>4337007.4400000004</v>
      </c>
      <c r="AF47" s="5"/>
      <c r="AG47" s="5"/>
      <c r="AJ47" s="3">
        <v>0</v>
      </c>
      <c r="AK47" s="3">
        <v>6268944.2800000003</v>
      </c>
    </row>
    <row r="48" spans="2:52" x14ac:dyDescent="0.2">
      <c r="B48" s="32"/>
      <c r="C48" s="39">
        <v>3314</v>
      </c>
      <c r="D48" s="40"/>
      <c r="E48" s="35" t="s">
        <v>63</v>
      </c>
      <c r="F48" s="36">
        <v>0.09</v>
      </c>
      <c r="G48" s="37">
        <f t="shared" si="4"/>
        <v>101048764.38</v>
      </c>
      <c r="H48" s="37">
        <f t="shared" si="4"/>
        <v>159904959.58000001</v>
      </c>
      <c r="I48" s="38">
        <f t="shared" si="5"/>
        <v>-58856195.200000018</v>
      </c>
      <c r="J48" s="22"/>
      <c r="K48" s="22"/>
      <c r="L48" s="22">
        <v>2430176.6800000002</v>
      </c>
      <c r="M48" s="22"/>
      <c r="N48" s="22">
        <v>4192187.14</v>
      </c>
      <c r="O48" s="22"/>
      <c r="P48" s="31">
        <v>2922190.37</v>
      </c>
      <c r="Q48" s="22"/>
      <c r="R48" s="25">
        <v>7321918.8099999996</v>
      </c>
      <c r="S48" s="25">
        <v>68400749.379999995</v>
      </c>
      <c r="T48" s="5">
        <v>4366907.62</v>
      </c>
      <c r="V48" s="26">
        <v>3350080.62</v>
      </c>
      <c r="W48" s="26">
        <v>11688826.43</v>
      </c>
      <c r="X48" s="5">
        <v>3602505.03</v>
      </c>
      <c r="Y48" s="5">
        <v>2521858.56</v>
      </c>
      <c r="Z48" s="5">
        <v>12889061.09</v>
      </c>
      <c r="AA48" s="5">
        <v>4430727.09</v>
      </c>
      <c r="AF48" s="5"/>
      <c r="AG48" s="5"/>
      <c r="AJ48" s="3">
        <v>0</v>
      </c>
      <c r="AK48" s="3">
        <v>12889061.09</v>
      </c>
      <c r="AL48" s="3">
        <v>59973737.030000001</v>
      </c>
      <c r="AM48" s="3">
        <v>59973737.030000001</v>
      </c>
      <c r="AR48" s="3">
        <v>-0.01</v>
      </c>
    </row>
    <row r="49" spans="2:60" x14ac:dyDescent="0.2">
      <c r="B49" s="32"/>
      <c r="C49" s="39">
        <v>3314</v>
      </c>
      <c r="D49" s="41"/>
      <c r="E49" s="35" t="s">
        <v>64</v>
      </c>
      <c r="F49" s="36">
        <v>0.06</v>
      </c>
      <c r="G49" s="37">
        <f t="shared" si="4"/>
        <v>14007095.92</v>
      </c>
      <c r="H49" s="37">
        <f t="shared" si="4"/>
        <v>16122173.18</v>
      </c>
      <c r="I49" s="38">
        <f t="shared" si="5"/>
        <v>-2115077.2599999998</v>
      </c>
      <c r="J49" s="22"/>
      <c r="K49" s="22"/>
      <c r="L49" s="22">
        <v>358897.98</v>
      </c>
      <c r="M49" s="22"/>
      <c r="N49" s="22">
        <v>560269.56999999995</v>
      </c>
      <c r="O49" s="22"/>
      <c r="P49" s="31">
        <v>271800.08</v>
      </c>
      <c r="Q49" s="22">
        <v>2979681.33</v>
      </c>
      <c r="R49" s="25">
        <v>175308.31</v>
      </c>
      <c r="S49" s="25">
        <v>279199.94</v>
      </c>
      <c r="T49" s="5">
        <v>738198.42</v>
      </c>
      <c r="U49" s="5">
        <v>137455.32999999999</v>
      </c>
      <c r="V49" s="26">
        <f>2418745.68+68316.87</f>
        <v>2487062.5500000003</v>
      </c>
      <c r="W49" s="26">
        <f>823215.02+68316.87</f>
        <v>891531.89</v>
      </c>
      <c r="X49" s="26">
        <v>141236.73000000001</v>
      </c>
      <c r="Y49" s="5">
        <v>0</v>
      </c>
      <c r="Z49" s="5">
        <v>9274322.2799999993</v>
      </c>
      <c r="AA49" s="5">
        <v>2559982.41</v>
      </c>
      <c r="AF49" s="5"/>
      <c r="AG49" s="5"/>
      <c r="AJ49" s="3">
        <v>0</v>
      </c>
      <c r="AK49" s="3">
        <v>9274322.2799999993</v>
      </c>
    </row>
    <row r="50" spans="2:60" ht="12" customHeight="1" x14ac:dyDescent="0.2">
      <c r="B50" s="32" t="s">
        <v>65</v>
      </c>
      <c r="C50" s="33">
        <v>2016</v>
      </c>
      <c r="D50" s="49" t="s">
        <v>81</v>
      </c>
      <c r="E50" s="35" t="s">
        <v>62</v>
      </c>
      <c r="F50" s="36">
        <v>0.13</v>
      </c>
      <c r="G50" s="37">
        <f t="shared" si="4"/>
        <v>19584962.539999999</v>
      </c>
      <c r="H50" s="37">
        <f t="shared" si="4"/>
        <v>19584962.539999999</v>
      </c>
      <c r="I50" s="38">
        <f t="shared" si="5"/>
        <v>0</v>
      </c>
      <c r="J50" s="22"/>
      <c r="K50" s="22"/>
      <c r="L50" s="22"/>
      <c r="M50" s="22"/>
      <c r="N50" s="22"/>
      <c r="O50" s="22"/>
      <c r="P50" s="31">
        <v>19584962.539999999</v>
      </c>
      <c r="Q50" s="22"/>
      <c r="R50" s="25">
        <v>0</v>
      </c>
      <c r="S50" s="25">
        <v>19584962.539999999</v>
      </c>
      <c r="V50" s="26">
        <v>0</v>
      </c>
      <c r="W50" s="26">
        <v>0</v>
      </c>
      <c r="X50" s="5">
        <v>0</v>
      </c>
      <c r="Y50" s="5">
        <v>0</v>
      </c>
      <c r="AF50" s="5"/>
      <c r="AG50" s="5"/>
    </row>
    <row r="51" spans="2:60" x14ac:dyDescent="0.2">
      <c r="B51" s="32"/>
      <c r="C51" s="39">
        <v>2016</v>
      </c>
      <c r="D51" s="50"/>
      <c r="E51" s="35" t="s">
        <v>63</v>
      </c>
      <c r="F51" s="36">
        <v>0.09</v>
      </c>
      <c r="G51" s="37">
        <f t="shared" si="4"/>
        <v>3991345.21</v>
      </c>
      <c r="H51" s="37">
        <f t="shared" si="4"/>
        <v>5446187.0600000005</v>
      </c>
      <c r="I51" s="38">
        <f t="shared" si="5"/>
        <v>-1454841.8500000006</v>
      </c>
      <c r="J51" s="22"/>
      <c r="K51" s="22"/>
      <c r="L51" s="22"/>
      <c r="M51" s="22"/>
      <c r="N51" s="22"/>
      <c r="O51" s="22"/>
      <c r="P51" s="31"/>
      <c r="Q51" s="22"/>
      <c r="R51" s="25">
        <v>0</v>
      </c>
      <c r="S51" s="25">
        <v>1454841.86</v>
      </c>
      <c r="V51" s="26">
        <v>0</v>
      </c>
      <c r="W51" s="26">
        <v>0</v>
      </c>
      <c r="X51" s="5">
        <v>0</v>
      </c>
      <c r="Y51" s="5">
        <v>0</v>
      </c>
      <c r="Z51" s="5">
        <v>3991345.2</v>
      </c>
      <c r="AC51" s="5">
        <v>3991345.2</v>
      </c>
      <c r="AF51" s="5"/>
      <c r="AG51" s="5"/>
      <c r="AR51" s="3">
        <v>0.01</v>
      </c>
    </row>
    <row r="52" spans="2:60" x14ac:dyDescent="0.2">
      <c r="B52" s="32"/>
      <c r="C52" s="39">
        <v>2016</v>
      </c>
      <c r="D52" s="51"/>
      <c r="E52" s="35" t="s">
        <v>64</v>
      </c>
      <c r="F52" s="36">
        <v>0.06</v>
      </c>
      <c r="G52" s="37">
        <f t="shared" si="4"/>
        <v>4027205.69</v>
      </c>
      <c r="H52" s="37">
        <f t="shared" si="4"/>
        <v>3314881.85</v>
      </c>
      <c r="I52" s="38">
        <f t="shared" si="5"/>
        <v>712323.83999999985</v>
      </c>
      <c r="J52" s="22"/>
      <c r="K52" s="22"/>
      <c r="L52" s="22">
        <v>20225.689999999999</v>
      </c>
      <c r="M52" s="22"/>
      <c r="N52" s="22">
        <v>89988.01</v>
      </c>
      <c r="O52" s="22"/>
      <c r="P52" s="31">
        <v>18834.8</v>
      </c>
      <c r="Q52" s="22">
        <v>1207772.6200000001</v>
      </c>
      <c r="R52" s="25">
        <v>22534.720000000001</v>
      </c>
      <c r="S52" s="25">
        <v>22534.720000000001</v>
      </c>
      <c r="T52" s="5">
        <v>22611.14</v>
      </c>
      <c r="U52" s="5">
        <v>41445.94</v>
      </c>
      <c r="V52" s="26">
        <f>1880746.37+34158.42</f>
        <v>1914904.79</v>
      </c>
      <c r="W52" s="26">
        <v>34158.42</v>
      </c>
      <c r="X52" s="26">
        <v>22243.4</v>
      </c>
      <c r="Y52" s="5">
        <v>155622.32999999999</v>
      </c>
      <c r="Z52" s="5">
        <v>1853347.82</v>
      </c>
      <c r="AD52" s="5">
        <v>62515.32</v>
      </c>
      <c r="AF52" s="5"/>
      <c r="AG52" s="5"/>
      <c r="AI52" s="46">
        <v>1853347.82</v>
      </c>
    </row>
    <row r="53" spans="2:60" x14ac:dyDescent="0.2">
      <c r="B53" s="32" t="s">
        <v>65</v>
      </c>
      <c r="C53" s="33">
        <v>2016</v>
      </c>
      <c r="D53" s="49" t="s">
        <v>82</v>
      </c>
      <c r="E53" s="35" t="s">
        <v>62</v>
      </c>
      <c r="F53" s="36">
        <v>0.13</v>
      </c>
      <c r="G53" s="37">
        <f t="shared" si="4"/>
        <v>36181724.439999998</v>
      </c>
      <c r="H53" s="37">
        <f t="shared" si="4"/>
        <v>36181724.439999998</v>
      </c>
      <c r="I53" s="38">
        <f t="shared" si="5"/>
        <v>0</v>
      </c>
      <c r="J53" s="22"/>
      <c r="K53" s="22"/>
      <c r="L53" s="22"/>
      <c r="M53" s="22"/>
      <c r="N53" s="22"/>
      <c r="O53" s="22"/>
      <c r="P53" s="31">
        <v>27152203.73</v>
      </c>
      <c r="Q53" s="22"/>
      <c r="R53" s="25">
        <v>176101.34</v>
      </c>
      <c r="S53" s="25">
        <v>27152203.73</v>
      </c>
      <c r="V53" s="26">
        <v>3723883.97</v>
      </c>
      <c r="W53" s="26">
        <v>0</v>
      </c>
      <c r="X53" s="5">
        <v>0</v>
      </c>
      <c r="Y53" s="5">
        <v>3899985.31</v>
      </c>
      <c r="Z53" s="5">
        <v>5129535.4000000004</v>
      </c>
      <c r="AF53" s="5"/>
      <c r="AG53" s="5"/>
      <c r="AI53" s="46">
        <v>5129535.4000000004</v>
      </c>
    </row>
    <row r="54" spans="2:60" x14ac:dyDescent="0.2">
      <c r="B54" s="32"/>
      <c r="C54" s="39">
        <v>2016</v>
      </c>
      <c r="D54" s="50"/>
      <c r="E54" s="35" t="s">
        <v>63</v>
      </c>
      <c r="F54" s="36">
        <v>0.09</v>
      </c>
      <c r="G54" s="37">
        <f t="shared" si="4"/>
        <v>208328832.16</v>
      </c>
      <c r="H54" s="37">
        <f t="shared" si="4"/>
        <v>213150867.81</v>
      </c>
      <c r="I54" s="38">
        <f t="shared" si="5"/>
        <v>-4822035.650000006</v>
      </c>
      <c r="J54" s="22"/>
      <c r="K54" s="22"/>
      <c r="L54" s="22">
        <v>507798.16</v>
      </c>
      <c r="M54" s="22"/>
      <c r="N54" s="22">
        <v>1269495.3999999999</v>
      </c>
      <c r="O54" s="22"/>
      <c r="P54" s="31">
        <v>1360228.16</v>
      </c>
      <c r="Q54" s="22"/>
      <c r="R54" s="25">
        <v>0</v>
      </c>
      <c r="S54" s="25">
        <v>7959557.3700000001</v>
      </c>
      <c r="T54" s="5">
        <v>1973247.25</v>
      </c>
      <c r="V54" s="26">
        <v>305907.77</v>
      </c>
      <c r="W54" s="26">
        <v>0</v>
      </c>
      <c r="X54" s="5">
        <v>7646759.4000000004</v>
      </c>
      <c r="Y54" s="5">
        <v>2279155.02</v>
      </c>
      <c r="Z54" s="5">
        <v>50766701.600000001</v>
      </c>
      <c r="AC54" s="5">
        <v>11936901.050000001</v>
      </c>
      <c r="AF54" s="5"/>
      <c r="AG54" s="5"/>
      <c r="AI54" s="46">
        <v>46476559.950000003</v>
      </c>
      <c r="AR54" s="3">
        <v>73394495.420000002</v>
      </c>
      <c r="AS54" s="5">
        <v>73394495.420000002</v>
      </c>
      <c r="AU54" s="5">
        <v>71104199</v>
      </c>
      <c r="AX54" s="5">
        <v>71104199</v>
      </c>
    </row>
    <row r="55" spans="2:60" x14ac:dyDescent="0.2">
      <c r="B55" s="32"/>
      <c r="C55" s="39">
        <v>2016</v>
      </c>
      <c r="D55" s="51"/>
      <c r="E55" s="35" t="s">
        <v>64</v>
      </c>
      <c r="F55" s="36">
        <v>0.06</v>
      </c>
      <c r="G55" s="37">
        <f t="shared" si="4"/>
        <v>15348124.77</v>
      </c>
      <c r="H55" s="37">
        <f t="shared" si="4"/>
        <v>17209687.310000002</v>
      </c>
      <c r="I55" s="38">
        <f t="shared" si="5"/>
        <v>-1861562.5400000028</v>
      </c>
      <c r="J55" s="22"/>
      <c r="K55" s="22"/>
      <c r="L55" s="22">
        <v>20225.689999999999</v>
      </c>
      <c r="M55" s="22"/>
      <c r="N55" s="22">
        <v>908379.56</v>
      </c>
      <c r="O55" s="22"/>
      <c r="P55" s="31">
        <v>650679.63</v>
      </c>
      <c r="Q55" s="22">
        <v>980285.04</v>
      </c>
      <c r="R55" s="25">
        <v>2821931.8</v>
      </c>
      <c r="S55" s="25">
        <v>654379.55000000005</v>
      </c>
      <c r="T55" s="5">
        <v>731886.98</v>
      </c>
      <c r="U55" s="5">
        <v>41445.94</v>
      </c>
      <c r="V55" s="26">
        <f>1959365.19+34158.42</f>
        <v>1993523.6099999999</v>
      </c>
      <c r="W55" s="26">
        <v>34158.42</v>
      </c>
      <c r="X55" s="26">
        <v>1011104.67</v>
      </c>
      <c r="Y55" s="5">
        <v>7237648.9500000002</v>
      </c>
      <c r="Z55" s="5">
        <v>6674545.1699999999</v>
      </c>
      <c r="AB55" s="5">
        <v>900636.97</v>
      </c>
      <c r="AF55" s="5"/>
      <c r="AG55" s="5"/>
      <c r="AI55" s="46">
        <v>8626558.7300000004</v>
      </c>
      <c r="AL55" s="3">
        <v>221438.68</v>
      </c>
      <c r="AR55" s="3">
        <v>0.01</v>
      </c>
      <c r="AS55" s="5">
        <v>221438.68</v>
      </c>
      <c r="AU55" s="5">
        <v>-586228</v>
      </c>
      <c r="AX55" s="5">
        <v>-586228</v>
      </c>
    </row>
    <row r="56" spans="2:60" x14ac:dyDescent="0.2">
      <c r="B56" s="32" t="s">
        <v>65</v>
      </c>
      <c r="C56" s="39">
        <v>4470</v>
      </c>
      <c r="D56" s="49" t="s">
        <v>83</v>
      </c>
      <c r="E56" s="35" t="s">
        <v>62</v>
      </c>
      <c r="F56" s="36">
        <v>0.13</v>
      </c>
      <c r="G56" s="37">
        <f t="shared" si="4"/>
        <v>156326606.92000002</v>
      </c>
      <c r="H56" s="37">
        <f t="shared" si="4"/>
        <v>62114591.210000001</v>
      </c>
      <c r="I56" s="38">
        <f t="shared" si="5"/>
        <v>94212015.710000008</v>
      </c>
      <c r="J56" s="22"/>
      <c r="K56" s="22"/>
      <c r="L56" s="22">
        <v>12953097.34</v>
      </c>
      <c r="M56" s="22"/>
      <c r="N56" s="22">
        <v>7559164.5700000003</v>
      </c>
      <c r="O56" s="22"/>
      <c r="P56" s="31">
        <v>3793850.66</v>
      </c>
      <c r="Q56" s="22"/>
      <c r="R56" s="25"/>
      <c r="S56" s="25"/>
      <c r="T56" s="5">
        <v>55278599.990000002</v>
      </c>
      <c r="V56" s="26">
        <v>52916258.979999997</v>
      </c>
      <c r="W56" s="26">
        <v>9840417.2100000009</v>
      </c>
      <c r="X56" s="5">
        <v>10795169.41</v>
      </c>
      <c r="Y56" s="5">
        <v>0</v>
      </c>
      <c r="AA56" s="5">
        <v>-54847.11</v>
      </c>
      <c r="AB56" s="5">
        <v>114480.68</v>
      </c>
      <c r="AC56" s="5">
        <v>-79871.12</v>
      </c>
      <c r="AD56" s="5">
        <v>16916191.199999999</v>
      </c>
      <c r="AE56" s="5">
        <v>50514064.159999996</v>
      </c>
      <c r="AF56" s="5">
        <v>12535.93</v>
      </c>
      <c r="AG56" s="5"/>
      <c r="AL56" s="3">
        <v>1882292.14</v>
      </c>
      <c r="AN56" s="3">
        <v>13869886.369999999</v>
      </c>
      <c r="AP56" s="3">
        <v>3314574.24</v>
      </c>
      <c r="AQ56" s="3">
        <v>1894828.07</v>
      </c>
      <c r="AW56" s="5">
        <v>-103706.42</v>
      </c>
      <c r="BC56" s="3">
        <v>-20924240.530000001</v>
      </c>
      <c r="BG56" s="3">
        <v>-2051547.64</v>
      </c>
    </row>
    <row r="57" spans="2:60" x14ac:dyDescent="0.2">
      <c r="B57" s="32"/>
      <c r="C57" s="39">
        <v>4470</v>
      </c>
      <c r="D57" s="50"/>
      <c r="E57" s="35" t="s">
        <v>63</v>
      </c>
      <c r="F57" s="36">
        <v>0.09</v>
      </c>
      <c r="G57" s="37">
        <f t="shared" si="4"/>
        <v>126910296.03000002</v>
      </c>
      <c r="H57" s="37">
        <f t="shared" si="4"/>
        <v>124466010.99000001</v>
      </c>
      <c r="I57" s="38">
        <f t="shared" si="5"/>
        <v>2444285.0400000066</v>
      </c>
      <c r="J57" s="22"/>
      <c r="K57" s="22"/>
      <c r="L57" s="22"/>
      <c r="M57" s="22"/>
      <c r="N57" s="22">
        <v>12131405.800000001</v>
      </c>
      <c r="O57" s="22"/>
      <c r="P57" s="31">
        <v>32038295.550000001</v>
      </c>
      <c r="Q57" s="22">
        <v>49098164.920000002</v>
      </c>
      <c r="R57" s="25"/>
      <c r="S57" s="25"/>
      <c r="T57" s="5">
        <v>23227907.329999998</v>
      </c>
      <c r="V57" s="26">
        <v>28676173.82</v>
      </c>
      <c r="W57" s="26">
        <v>32191614.600000001</v>
      </c>
      <c r="X57" s="5">
        <v>16473081.4</v>
      </c>
      <c r="Y57" s="5">
        <v>16473081.4</v>
      </c>
      <c r="Z57" s="5">
        <v>12571169.35</v>
      </c>
      <c r="AA57" s="5">
        <v>12571169.35</v>
      </c>
      <c r="AD57" s="5">
        <v>7925458.3499999996</v>
      </c>
      <c r="AE57" s="5">
        <v>7925458.3499999996</v>
      </c>
      <c r="AF57" s="5">
        <f>2781089.72+401414.45</f>
        <v>3182504.1700000004</v>
      </c>
      <c r="AG57" s="5"/>
      <c r="AL57" s="3">
        <v>62534.400000000001</v>
      </c>
      <c r="AN57" s="3">
        <v>288592.24</v>
      </c>
      <c r="AP57" s="3">
        <v>3479357.8</v>
      </c>
      <c r="AQ57" s="3">
        <v>6206522.3700000001</v>
      </c>
      <c r="AW57" s="5">
        <v>-220368.17</v>
      </c>
      <c r="BC57" s="3">
        <v>-18201527.859999999</v>
      </c>
      <c r="BG57" s="3">
        <v>5275711.8499999996</v>
      </c>
    </row>
    <row r="58" spans="2:60" x14ac:dyDescent="0.2">
      <c r="B58" s="32"/>
      <c r="C58" s="39">
        <v>4470</v>
      </c>
      <c r="D58" s="51"/>
      <c r="E58" s="35" t="s">
        <v>64</v>
      </c>
      <c r="F58" s="36">
        <v>0.06</v>
      </c>
      <c r="G58" s="37">
        <f t="shared" si="4"/>
        <v>31903820.899999999</v>
      </c>
      <c r="H58" s="37">
        <f t="shared" si="4"/>
        <v>52059488.520000003</v>
      </c>
      <c r="I58" s="38">
        <f t="shared" si="5"/>
        <v>-20155667.620000005</v>
      </c>
      <c r="J58" s="22"/>
      <c r="K58" s="22"/>
      <c r="L58" s="22">
        <f>53935.17+6741.9</f>
        <v>60677.07</v>
      </c>
      <c r="M58" s="22"/>
      <c r="N58" s="22">
        <f>126783.7+6770.55</f>
        <v>133554.25</v>
      </c>
      <c r="O58" s="22"/>
      <c r="P58" s="31">
        <f>605292.35+6278.27</f>
        <v>611570.62</v>
      </c>
      <c r="Q58" s="22"/>
      <c r="R58" s="25"/>
      <c r="S58" s="25"/>
      <c r="U58" s="5">
        <v>41285582.060000002</v>
      </c>
      <c r="V58" s="26">
        <v>91089.15</v>
      </c>
      <c r="W58" s="26">
        <v>91089.15</v>
      </c>
      <c r="X58" s="26">
        <v>602950.62</v>
      </c>
      <c r="Y58" s="5">
        <v>757667.6</v>
      </c>
      <c r="Z58" s="5">
        <v>251408.63</v>
      </c>
      <c r="AA58" s="5">
        <v>251408.63</v>
      </c>
      <c r="AC58" s="5">
        <v>11887.15</v>
      </c>
      <c r="AD58" s="5">
        <v>1892980.13</v>
      </c>
      <c r="AE58" s="5">
        <v>8434196.75</v>
      </c>
      <c r="AF58" s="5">
        <v>227323.24</v>
      </c>
      <c r="AG58" s="5"/>
      <c r="AL58" s="3">
        <v>3587500</v>
      </c>
      <c r="AN58" s="3">
        <v>594201.85</v>
      </c>
      <c r="AQ58" s="3">
        <v>1227657.18</v>
      </c>
      <c r="AW58" s="5">
        <v>1366564.17</v>
      </c>
      <c r="BC58" s="3">
        <v>-351429.1</v>
      </c>
      <c r="BG58" s="3">
        <v>22835430.27</v>
      </c>
    </row>
    <row r="59" spans="2:60" x14ac:dyDescent="0.2">
      <c r="B59" s="32"/>
      <c r="C59" s="42" t="s">
        <v>84</v>
      </c>
      <c r="D59" s="49" t="s">
        <v>83</v>
      </c>
      <c r="E59" s="35" t="s">
        <v>62</v>
      </c>
      <c r="F59" s="36">
        <v>0.13</v>
      </c>
      <c r="G59" s="37">
        <f t="shared" si="4"/>
        <v>0</v>
      </c>
      <c r="H59" s="37">
        <f t="shared" si="4"/>
        <v>2451327.4500000002</v>
      </c>
      <c r="I59" s="38"/>
      <c r="J59" s="22"/>
      <c r="K59" s="22"/>
      <c r="L59" s="22"/>
      <c r="M59" s="22"/>
      <c r="N59" s="22"/>
      <c r="O59" s="22"/>
      <c r="P59" s="31"/>
      <c r="Q59" s="22"/>
      <c r="R59" s="25"/>
      <c r="S59" s="25"/>
      <c r="AF59" s="5"/>
      <c r="AG59" s="5"/>
      <c r="BH59" s="3">
        <v>2451327.4500000002</v>
      </c>
    </row>
    <row r="60" spans="2:60" x14ac:dyDescent="0.2">
      <c r="B60" s="32"/>
      <c r="C60" s="44"/>
      <c r="D60" s="50"/>
      <c r="E60" s="35" t="s">
        <v>63</v>
      </c>
      <c r="F60" s="36">
        <v>0.09</v>
      </c>
      <c r="G60" s="37">
        <f t="shared" si="4"/>
        <v>0</v>
      </c>
      <c r="H60" s="37">
        <f t="shared" si="4"/>
        <v>0</v>
      </c>
      <c r="I60" s="38"/>
      <c r="J60" s="22"/>
      <c r="K60" s="22"/>
      <c r="L60" s="22"/>
      <c r="M60" s="22"/>
      <c r="N60" s="22"/>
      <c r="O60" s="22"/>
      <c r="P60" s="31"/>
      <c r="Q60" s="22"/>
      <c r="R60" s="25"/>
      <c r="S60" s="25"/>
      <c r="AF60" s="5"/>
      <c r="AG60" s="5"/>
    </row>
    <row r="61" spans="2:60" x14ac:dyDescent="0.2">
      <c r="B61" s="32"/>
      <c r="C61" s="45"/>
      <c r="D61" s="51"/>
      <c r="E61" s="35" t="s">
        <v>64</v>
      </c>
      <c r="F61" s="36">
        <v>0.06</v>
      </c>
      <c r="G61" s="37">
        <f t="shared" si="4"/>
        <v>0</v>
      </c>
      <c r="H61" s="37">
        <f t="shared" si="4"/>
        <v>0</v>
      </c>
      <c r="I61" s="38"/>
      <c r="J61" s="22"/>
      <c r="K61" s="22"/>
      <c r="L61" s="22"/>
      <c r="M61" s="22"/>
      <c r="N61" s="22"/>
      <c r="O61" s="22"/>
      <c r="P61" s="31"/>
      <c r="Q61" s="22"/>
      <c r="R61" s="25"/>
      <c r="S61" s="25"/>
      <c r="AF61" s="5"/>
      <c r="AG61" s="5"/>
    </row>
    <row r="62" spans="2:60" x14ac:dyDescent="0.2">
      <c r="B62" s="32"/>
      <c r="C62" s="42" t="s">
        <v>85</v>
      </c>
      <c r="D62" s="49" t="s">
        <v>83</v>
      </c>
      <c r="E62" s="35" t="s">
        <v>62</v>
      </c>
      <c r="F62" s="36">
        <v>0.13</v>
      </c>
      <c r="G62" s="37">
        <f t="shared" si="4"/>
        <v>0</v>
      </c>
      <c r="H62" s="37">
        <f t="shared" si="4"/>
        <v>361770.42</v>
      </c>
      <c r="I62" s="38"/>
      <c r="J62" s="22"/>
      <c r="K62" s="22"/>
      <c r="L62" s="22"/>
      <c r="M62" s="22"/>
      <c r="N62" s="22"/>
      <c r="O62" s="22"/>
      <c r="P62" s="31"/>
      <c r="Q62" s="22"/>
      <c r="R62" s="25"/>
      <c r="S62" s="25"/>
      <c r="AF62" s="5"/>
      <c r="AG62" s="5"/>
      <c r="BH62" s="3">
        <v>361770.42</v>
      </c>
    </row>
    <row r="63" spans="2:60" x14ac:dyDescent="0.2">
      <c r="B63" s="32"/>
      <c r="C63" s="52"/>
      <c r="D63" s="50"/>
      <c r="E63" s="35" t="s">
        <v>63</v>
      </c>
      <c r="F63" s="36">
        <v>0.09</v>
      </c>
      <c r="G63" s="37">
        <f t="shared" si="4"/>
        <v>0</v>
      </c>
      <c r="H63" s="37">
        <f t="shared" si="4"/>
        <v>0</v>
      </c>
      <c r="I63" s="38"/>
      <c r="J63" s="22"/>
      <c r="K63" s="22"/>
      <c r="L63" s="22"/>
      <c r="M63" s="22"/>
      <c r="N63" s="22"/>
      <c r="O63" s="22"/>
      <c r="P63" s="31"/>
      <c r="Q63" s="22"/>
      <c r="R63" s="25"/>
      <c r="S63" s="25"/>
      <c r="AF63" s="5"/>
      <c r="AG63" s="5"/>
    </row>
    <row r="64" spans="2:60" x14ac:dyDescent="0.2">
      <c r="B64" s="32"/>
      <c r="C64" s="53"/>
      <c r="D64" s="51"/>
      <c r="E64" s="35" t="s">
        <v>64</v>
      </c>
      <c r="F64" s="36">
        <v>0.06</v>
      </c>
      <c r="G64" s="37">
        <f t="shared" si="4"/>
        <v>0</v>
      </c>
      <c r="H64" s="37">
        <f t="shared" si="4"/>
        <v>0</v>
      </c>
      <c r="I64" s="38"/>
      <c r="J64" s="22"/>
      <c r="K64" s="22"/>
      <c r="L64" s="22"/>
      <c r="M64" s="22"/>
      <c r="N64" s="22"/>
      <c r="O64" s="22"/>
      <c r="P64" s="31"/>
      <c r="Q64" s="22"/>
      <c r="R64" s="25"/>
      <c r="S64" s="25"/>
      <c r="AF64" s="5"/>
      <c r="AG64" s="5"/>
    </row>
    <row r="65" spans="2:59" x14ac:dyDescent="0.2">
      <c r="B65" s="32" t="s">
        <v>65</v>
      </c>
      <c r="C65" s="33" t="s">
        <v>86</v>
      </c>
      <c r="D65" s="49" t="s">
        <v>87</v>
      </c>
      <c r="E65" s="35" t="s">
        <v>62</v>
      </c>
      <c r="F65" s="36">
        <v>0.13</v>
      </c>
      <c r="G65" s="37">
        <f t="shared" si="4"/>
        <v>0</v>
      </c>
      <c r="H65" s="37">
        <f t="shared" si="4"/>
        <v>0</v>
      </c>
      <c r="I65" s="38">
        <f t="shared" ref="I65:I128" si="6">G65-H65</f>
        <v>0</v>
      </c>
      <c r="J65" s="22"/>
      <c r="K65" s="22"/>
      <c r="L65" s="22"/>
      <c r="M65" s="22"/>
      <c r="N65" s="22"/>
      <c r="O65" s="22"/>
      <c r="P65" s="31"/>
      <c r="Q65" s="22"/>
      <c r="R65" s="25"/>
      <c r="S65" s="25"/>
      <c r="V65" s="26">
        <v>0</v>
      </c>
      <c r="W65" s="26">
        <v>0</v>
      </c>
      <c r="X65" s="26">
        <v>0</v>
      </c>
      <c r="Y65" s="26">
        <v>0</v>
      </c>
      <c r="AF65" s="5"/>
      <c r="AG65" s="5"/>
    </row>
    <row r="66" spans="2:59" x14ac:dyDescent="0.2">
      <c r="B66" s="32"/>
      <c r="C66" s="39" t="s">
        <v>86</v>
      </c>
      <c r="D66" s="50"/>
      <c r="E66" s="35" t="s">
        <v>63</v>
      </c>
      <c r="F66" s="36">
        <v>0.09</v>
      </c>
      <c r="G66" s="37">
        <f t="shared" si="4"/>
        <v>0</v>
      </c>
      <c r="H66" s="37">
        <f t="shared" si="4"/>
        <v>0</v>
      </c>
      <c r="I66" s="38">
        <f t="shared" si="6"/>
        <v>0</v>
      </c>
      <c r="J66" s="22"/>
      <c r="K66" s="22"/>
      <c r="L66" s="22"/>
      <c r="M66" s="22"/>
      <c r="N66" s="22"/>
      <c r="O66" s="22"/>
      <c r="P66" s="31"/>
      <c r="Q66" s="22"/>
      <c r="R66" s="25"/>
      <c r="S66" s="25"/>
      <c r="V66" s="26">
        <v>0</v>
      </c>
      <c r="W66" s="26">
        <v>0</v>
      </c>
      <c r="X66" s="26">
        <v>0</v>
      </c>
      <c r="Y66" s="26">
        <v>0</v>
      </c>
      <c r="AF66" s="5"/>
      <c r="AG66" s="5"/>
    </row>
    <row r="67" spans="2:59" x14ac:dyDescent="0.2">
      <c r="B67" s="32"/>
      <c r="C67" s="39" t="s">
        <v>86</v>
      </c>
      <c r="D67" s="51"/>
      <c r="E67" s="35" t="s">
        <v>64</v>
      </c>
      <c r="F67" s="36">
        <v>0.06</v>
      </c>
      <c r="G67" s="37">
        <f t="shared" si="4"/>
        <v>60072</v>
      </c>
      <c r="H67" s="37">
        <f t="shared" si="4"/>
        <v>813027.61</v>
      </c>
      <c r="I67" s="38">
        <f t="shared" si="6"/>
        <v>-752955.61</v>
      </c>
      <c r="J67" s="22"/>
      <c r="K67" s="22"/>
      <c r="L67" s="22">
        <v>7219.88</v>
      </c>
      <c r="M67" s="22"/>
      <c r="N67" s="22">
        <v>7220.06</v>
      </c>
      <c r="O67" s="22"/>
      <c r="P67" s="31">
        <v>7307.29</v>
      </c>
      <c r="Q67" s="22"/>
      <c r="R67" s="25">
        <v>7319.78</v>
      </c>
      <c r="S67" s="25">
        <v>7319.78</v>
      </c>
      <c r="T67" s="5">
        <v>11645.92</v>
      </c>
      <c r="U67" s="5">
        <v>805707.83</v>
      </c>
      <c r="V67" s="26">
        <v>0</v>
      </c>
      <c r="W67" s="26">
        <v>0</v>
      </c>
      <c r="X67" s="26">
        <v>0</v>
      </c>
      <c r="Y67" s="26">
        <v>0</v>
      </c>
      <c r="AF67" s="5"/>
      <c r="AG67" s="5"/>
      <c r="AR67" s="3">
        <v>19359.07</v>
      </c>
    </row>
    <row r="68" spans="2:59" x14ac:dyDescent="0.2">
      <c r="B68" s="32" t="s">
        <v>65</v>
      </c>
      <c r="C68" s="33">
        <v>3318</v>
      </c>
      <c r="D68" s="49" t="s">
        <v>88</v>
      </c>
      <c r="E68" s="35" t="s">
        <v>62</v>
      </c>
      <c r="F68" s="36">
        <v>0.13</v>
      </c>
      <c r="G68" s="37">
        <f t="shared" si="4"/>
        <v>0</v>
      </c>
      <c r="H68" s="37">
        <f t="shared" si="4"/>
        <v>0</v>
      </c>
      <c r="I68" s="38">
        <f t="shared" si="6"/>
        <v>0</v>
      </c>
      <c r="J68" s="22"/>
      <c r="K68" s="22"/>
      <c r="L68" s="22"/>
      <c r="M68" s="22"/>
      <c r="N68" s="22"/>
      <c r="O68" s="22"/>
      <c r="P68" s="31"/>
      <c r="Q68" s="22"/>
      <c r="R68" s="25"/>
      <c r="S68" s="25"/>
      <c r="V68" s="26">
        <v>0</v>
      </c>
      <c r="W68" s="26">
        <v>0</v>
      </c>
      <c r="X68" s="26">
        <v>0</v>
      </c>
      <c r="Y68" s="26">
        <v>0</v>
      </c>
      <c r="AF68" s="5"/>
      <c r="AG68" s="5"/>
    </row>
    <row r="69" spans="2:59" x14ac:dyDescent="0.2">
      <c r="B69" s="32"/>
      <c r="C69" s="39">
        <v>3318</v>
      </c>
      <c r="D69" s="50"/>
      <c r="E69" s="35" t="s">
        <v>63</v>
      </c>
      <c r="F69" s="36">
        <v>0.09</v>
      </c>
      <c r="G69" s="37">
        <f t="shared" si="4"/>
        <v>0</v>
      </c>
      <c r="H69" s="37">
        <f t="shared" si="4"/>
        <v>0</v>
      </c>
      <c r="I69" s="38">
        <f t="shared" si="6"/>
        <v>0</v>
      </c>
      <c r="J69" s="22"/>
      <c r="K69" s="22"/>
      <c r="L69" s="22"/>
      <c r="M69" s="22"/>
      <c r="N69" s="22"/>
      <c r="O69" s="22"/>
      <c r="P69" s="31"/>
      <c r="Q69" s="22"/>
      <c r="R69" s="25"/>
      <c r="S69" s="25"/>
      <c r="V69" s="26">
        <v>0</v>
      </c>
      <c r="W69" s="26">
        <v>0</v>
      </c>
      <c r="X69" s="26">
        <v>0</v>
      </c>
      <c r="Y69" s="26">
        <v>0</v>
      </c>
      <c r="AF69" s="5"/>
      <c r="AG69" s="5"/>
    </row>
    <row r="70" spans="2:59" x14ac:dyDescent="0.2">
      <c r="B70" s="32"/>
      <c r="C70" s="39">
        <v>3318</v>
      </c>
      <c r="D70" s="51"/>
      <c r="E70" s="35" t="s">
        <v>64</v>
      </c>
      <c r="F70" s="36">
        <v>0.06</v>
      </c>
      <c r="G70" s="37">
        <f t="shared" si="4"/>
        <v>1132075.47</v>
      </c>
      <c r="H70" s="37">
        <f t="shared" si="4"/>
        <v>1132075.47</v>
      </c>
      <c r="I70" s="38">
        <f t="shared" si="6"/>
        <v>0</v>
      </c>
      <c r="J70" s="22"/>
      <c r="K70" s="22"/>
      <c r="L70" s="22">
        <v>1132075.47</v>
      </c>
      <c r="M70" s="22">
        <v>1132075.47</v>
      </c>
      <c r="N70" s="22"/>
      <c r="O70" s="22"/>
      <c r="P70" s="31"/>
      <c r="Q70" s="22"/>
      <c r="R70" s="25"/>
      <c r="S70" s="25"/>
      <c r="V70" s="26">
        <v>0</v>
      </c>
      <c r="W70" s="26">
        <v>0</v>
      </c>
      <c r="X70" s="26">
        <v>0</v>
      </c>
      <c r="Y70" s="26">
        <v>0</v>
      </c>
      <c r="AF70" s="5"/>
      <c r="AG70" s="5"/>
    </row>
    <row r="71" spans="2:59" x14ac:dyDescent="0.2">
      <c r="B71" s="32" t="s">
        <v>65</v>
      </c>
      <c r="C71" s="33">
        <v>3350</v>
      </c>
      <c r="D71" s="49" t="s">
        <v>89</v>
      </c>
      <c r="E71" s="35" t="s">
        <v>62</v>
      </c>
      <c r="F71" s="36">
        <v>0.13</v>
      </c>
      <c r="G71" s="37">
        <f t="shared" si="4"/>
        <v>0</v>
      </c>
      <c r="H71" s="37">
        <f t="shared" si="4"/>
        <v>0</v>
      </c>
      <c r="I71" s="38">
        <f t="shared" si="6"/>
        <v>0</v>
      </c>
      <c r="J71" s="22"/>
      <c r="K71" s="22"/>
      <c r="L71" s="22"/>
      <c r="M71" s="22"/>
      <c r="N71" s="22"/>
      <c r="O71" s="22"/>
      <c r="P71" s="31"/>
      <c r="Q71" s="22"/>
      <c r="R71" s="25"/>
      <c r="S71" s="25"/>
      <c r="V71" s="26">
        <v>0</v>
      </c>
      <c r="W71" s="26">
        <v>0</v>
      </c>
      <c r="X71" s="26">
        <v>0</v>
      </c>
      <c r="Y71" s="26">
        <v>0</v>
      </c>
      <c r="AF71" s="5"/>
      <c r="AG71" s="5"/>
    </row>
    <row r="72" spans="2:59" x14ac:dyDescent="0.2">
      <c r="B72" s="32"/>
      <c r="C72" s="39">
        <v>3350</v>
      </c>
      <c r="D72" s="50"/>
      <c r="E72" s="35" t="s">
        <v>63</v>
      </c>
      <c r="F72" s="36">
        <v>0.09</v>
      </c>
      <c r="G72" s="37">
        <f t="shared" si="4"/>
        <v>0</v>
      </c>
      <c r="H72" s="37">
        <f t="shared" si="4"/>
        <v>479041.85</v>
      </c>
      <c r="I72" s="38">
        <f t="shared" si="6"/>
        <v>-479041.85</v>
      </c>
      <c r="J72" s="22"/>
      <c r="K72" s="22"/>
      <c r="L72" s="22"/>
      <c r="M72" s="22"/>
      <c r="N72" s="22"/>
      <c r="O72" s="22"/>
      <c r="P72" s="31"/>
      <c r="Q72" s="22">
        <v>258731.46</v>
      </c>
      <c r="R72" s="25"/>
      <c r="S72" s="25"/>
      <c r="V72" s="26">
        <v>0</v>
      </c>
      <c r="W72" s="26">
        <v>0</v>
      </c>
      <c r="X72" s="26">
        <v>0</v>
      </c>
      <c r="Y72" s="26">
        <v>0</v>
      </c>
      <c r="AE72" s="5">
        <v>-258731.46</v>
      </c>
      <c r="AF72" s="5"/>
      <c r="AG72" s="5"/>
      <c r="AM72" s="3">
        <v>479041.85</v>
      </c>
    </row>
    <row r="73" spans="2:59" x14ac:dyDescent="0.2">
      <c r="B73" s="32"/>
      <c r="C73" s="48">
        <v>3350</v>
      </c>
      <c r="D73" s="51"/>
      <c r="E73" s="35" t="s">
        <v>64</v>
      </c>
      <c r="F73" s="36">
        <v>0.06</v>
      </c>
      <c r="G73" s="37">
        <f t="shared" si="4"/>
        <v>0</v>
      </c>
      <c r="H73" s="37">
        <f t="shared" si="4"/>
        <v>0</v>
      </c>
      <c r="I73" s="38">
        <f t="shared" si="6"/>
        <v>0</v>
      </c>
      <c r="J73" s="22"/>
      <c r="K73" s="22"/>
      <c r="L73" s="22"/>
      <c r="M73" s="22"/>
      <c r="N73" s="22"/>
      <c r="O73" s="22"/>
      <c r="P73" s="31"/>
      <c r="Q73" s="22"/>
      <c r="R73" s="25">
        <v>191067.96</v>
      </c>
      <c r="S73" s="25">
        <v>0</v>
      </c>
      <c r="V73" s="26">
        <v>0</v>
      </c>
      <c r="W73" s="26">
        <v>0</v>
      </c>
      <c r="X73" s="26">
        <v>0</v>
      </c>
      <c r="Y73" s="26">
        <v>0</v>
      </c>
      <c r="AF73" s="5"/>
      <c r="AG73" s="5"/>
      <c r="BC73" s="3">
        <v>-191067.96</v>
      </c>
    </row>
    <row r="74" spans="2:59" x14ac:dyDescent="0.2">
      <c r="B74" s="32" t="s">
        <v>65</v>
      </c>
      <c r="C74" s="33">
        <v>4470</v>
      </c>
      <c r="D74" s="49" t="s">
        <v>90</v>
      </c>
      <c r="E74" s="35" t="s">
        <v>62</v>
      </c>
      <c r="F74" s="36">
        <v>0.13</v>
      </c>
      <c r="G74" s="37">
        <f t="shared" ref="G74:H137" si="7">SUM(J74,L74,N74,P74,R74,T74,V74,X74,Z74,AB74,AD74,AF74,AH74,AJ74,AL74,AN74,AP74,AR74,AU74,AW74,AY74,BC74,BG74)</f>
        <v>38525142.359999999</v>
      </c>
      <c r="H74" s="37">
        <f t="shared" si="7"/>
        <v>16726499.470000001</v>
      </c>
      <c r="I74" s="38">
        <f t="shared" si="6"/>
        <v>21798642.890000001</v>
      </c>
      <c r="J74" s="22"/>
      <c r="K74" s="22"/>
      <c r="L74" s="22"/>
      <c r="M74" s="22"/>
      <c r="N74" s="22"/>
      <c r="O74" s="22"/>
      <c r="P74" s="31"/>
      <c r="Q74" s="22"/>
      <c r="R74" s="25">
        <v>535025.56000000006</v>
      </c>
      <c r="S74" s="25">
        <v>0</v>
      </c>
      <c r="U74" s="5">
        <v>16726499.470000001</v>
      </c>
      <c r="V74" s="26">
        <f>4376588</f>
        <v>4376588</v>
      </c>
      <c r="W74" s="26">
        <v>0</v>
      </c>
      <c r="X74" s="5">
        <v>0</v>
      </c>
      <c r="Y74" s="5">
        <v>0</v>
      </c>
      <c r="Z74" s="5">
        <v>32984879.52</v>
      </c>
      <c r="AB74" s="5">
        <v>610464.6</v>
      </c>
      <c r="AF74" s="5"/>
      <c r="AG74" s="5"/>
      <c r="AN74" s="3">
        <v>18184.68</v>
      </c>
    </row>
    <row r="75" spans="2:59" x14ac:dyDescent="0.2">
      <c r="B75" s="32"/>
      <c r="C75" s="39">
        <v>4470</v>
      </c>
      <c r="D75" s="50"/>
      <c r="E75" s="35" t="s">
        <v>63</v>
      </c>
      <c r="F75" s="36">
        <v>0.09</v>
      </c>
      <c r="G75" s="37">
        <f t="shared" si="7"/>
        <v>2594225.34</v>
      </c>
      <c r="H75" s="37">
        <f t="shared" si="7"/>
        <v>31473110.259999998</v>
      </c>
      <c r="I75" s="38">
        <f t="shared" si="6"/>
        <v>-28878884.919999998</v>
      </c>
      <c r="J75" s="22"/>
      <c r="K75" s="22"/>
      <c r="L75" s="22"/>
      <c r="M75" s="22"/>
      <c r="N75" s="22"/>
      <c r="O75" s="22"/>
      <c r="P75" s="31"/>
      <c r="Q75" s="22">
        <v>486312.49</v>
      </c>
      <c r="R75" s="25">
        <v>831989.3</v>
      </c>
      <c r="S75" s="25">
        <v>0</v>
      </c>
      <c r="U75" s="5">
        <v>30542863.52</v>
      </c>
      <c r="V75" s="26">
        <f>831989.3+930246.74</f>
        <v>1762236.04</v>
      </c>
      <c r="W75" s="26">
        <v>930246.74</v>
      </c>
      <c r="X75" s="5">
        <v>0</v>
      </c>
      <c r="Y75" s="5">
        <v>0</v>
      </c>
      <c r="AE75" s="5">
        <v>-486312.49</v>
      </c>
      <c r="AF75" s="5"/>
      <c r="AG75" s="5"/>
    </row>
    <row r="76" spans="2:59" x14ac:dyDescent="0.2">
      <c r="B76" s="32"/>
      <c r="C76" s="48">
        <v>4470</v>
      </c>
      <c r="D76" s="51"/>
      <c r="E76" s="35" t="s">
        <v>64</v>
      </c>
      <c r="F76" s="36">
        <v>0.06</v>
      </c>
      <c r="G76" s="37">
        <f t="shared" si="7"/>
        <v>47143609.630000003</v>
      </c>
      <c r="H76" s="37">
        <f t="shared" si="7"/>
        <v>7511.57</v>
      </c>
      <c r="I76" s="38">
        <f t="shared" si="6"/>
        <v>47136098.060000002</v>
      </c>
      <c r="J76" s="22"/>
      <c r="K76" s="22"/>
      <c r="L76" s="22"/>
      <c r="M76" s="22"/>
      <c r="N76" s="22"/>
      <c r="O76" s="22"/>
      <c r="P76" s="31"/>
      <c r="Q76" s="22"/>
      <c r="R76" s="25">
        <v>7511.57</v>
      </c>
      <c r="S76" s="25">
        <v>7511.57</v>
      </c>
      <c r="T76" s="5">
        <v>41339456.920000002</v>
      </c>
      <c r="V76" s="26">
        <v>0</v>
      </c>
      <c r="W76" s="26">
        <v>0</v>
      </c>
      <c r="X76" s="26">
        <v>0</v>
      </c>
      <c r="Y76" s="5">
        <v>0</v>
      </c>
      <c r="AB76" s="5">
        <v>5796641.1399999997</v>
      </c>
      <c r="AF76" s="5"/>
      <c r="AG76" s="5"/>
      <c r="BC76" s="3">
        <v>0</v>
      </c>
    </row>
    <row r="77" spans="2:59" x14ac:dyDescent="0.2">
      <c r="B77" s="32" t="s">
        <v>65</v>
      </c>
      <c r="C77" s="33">
        <v>4470</v>
      </c>
      <c r="D77" s="49" t="s">
        <v>91</v>
      </c>
      <c r="E77" s="35" t="s">
        <v>62</v>
      </c>
      <c r="F77" s="36">
        <v>0.13</v>
      </c>
      <c r="G77" s="37">
        <f t="shared" si="7"/>
        <v>27234067.259999994</v>
      </c>
      <c r="H77" s="37">
        <f t="shared" si="7"/>
        <v>63552790.86999999</v>
      </c>
      <c r="I77" s="38">
        <f t="shared" si="6"/>
        <v>-36318723.609999999</v>
      </c>
      <c r="J77" s="22"/>
      <c r="K77" s="22"/>
      <c r="L77" s="22"/>
      <c r="M77" s="22"/>
      <c r="N77" s="22"/>
      <c r="O77" s="22"/>
      <c r="P77" s="31"/>
      <c r="Q77" s="22"/>
      <c r="R77" s="25">
        <v>19775234.289999999</v>
      </c>
      <c r="S77" s="25">
        <v>50697108.049999997</v>
      </c>
      <c r="T77" s="5">
        <v>535025.56000000006</v>
      </c>
      <c r="V77" s="26">
        <v>0</v>
      </c>
      <c r="W77" s="26">
        <v>0</v>
      </c>
      <c r="X77" s="5">
        <v>2690452.92</v>
      </c>
      <c r="Y77" s="5">
        <v>2690452.92</v>
      </c>
      <c r="Z77" s="5">
        <v>1610020.47</v>
      </c>
      <c r="AA77" s="5">
        <v>1610020.47</v>
      </c>
      <c r="AD77" s="5">
        <v>323827.43</v>
      </c>
      <c r="AE77" s="5">
        <v>6057103.7199999997</v>
      </c>
      <c r="AF77" s="5">
        <v>1710381</v>
      </c>
      <c r="AG77" s="5"/>
      <c r="AH77" s="46">
        <v>412382.29</v>
      </c>
      <c r="AQ77" s="3">
        <v>1186468.55</v>
      </c>
      <c r="AR77" s="3">
        <v>518750.43</v>
      </c>
      <c r="AV77" s="5">
        <v>1311637.1599999999</v>
      </c>
      <c r="AY77" s="3">
        <v>-342007.13</v>
      </c>
    </row>
    <row r="78" spans="2:59" x14ac:dyDescent="0.2">
      <c r="B78" s="32"/>
      <c r="C78" s="39">
        <v>4470</v>
      </c>
      <c r="D78" s="50"/>
      <c r="E78" s="35" t="s">
        <v>63</v>
      </c>
      <c r="F78" s="36">
        <v>0.09</v>
      </c>
      <c r="G78" s="37">
        <f t="shared" si="7"/>
        <v>20631615.559999999</v>
      </c>
      <c r="H78" s="37">
        <f t="shared" si="7"/>
        <v>8131237.4299999997</v>
      </c>
      <c r="I78" s="38">
        <f t="shared" si="6"/>
        <v>12500378.129999999</v>
      </c>
      <c r="J78" s="22"/>
      <c r="K78" s="22"/>
      <c r="L78" s="22"/>
      <c r="M78" s="22"/>
      <c r="N78" s="22"/>
      <c r="O78" s="22"/>
      <c r="P78" s="31"/>
      <c r="Q78" s="22"/>
      <c r="R78" s="25">
        <v>11119160.16</v>
      </c>
      <c r="S78" s="25">
        <v>917431.19</v>
      </c>
      <c r="V78" s="26">
        <v>207306.14</v>
      </c>
      <c r="W78" s="26">
        <v>207306.14</v>
      </c>
      <c r="X78" s="5">
        <v>0</v>
      </c>
      <c r="Y78" s="5">
        <v>0</v>
      </c>
      <c r="AB78" s="5">
        <v>270555.32</v>
      </c>
      <c r="AD78" s="5">
        <v>757261.12</v>
      </c>
      <c r="AE78" s="5">
        <f>2421239.72+270555.32</f>
        <v>2691795.04</v>
      </c>
      <c r="AF78" s="5">
        <v>5127803.87</v>
      </c>
      <c r="AG78" s="5"/>
      <c r="AQ78" s="3">
        <v>3671822.59</v>
      </c>
      <c r="AR78" s="3">
        <v>188073.4</v>
      </c>
      <c r="AV78" s="5">
        <v>642882.47</v>
      </c>
      <c r="AY78" s="3">
        <v>402538</v>
      </c>
      <c r="BG78" s="3">
        <v>2558917.5499999998</v>
      </c>
    </row>
    <row r="79" spans="2:59" x14ac:dyDescent="0.2">
      <c r="B79" s="32"/>
      <c r="C79" s="48">
        <v>4470</v>
      </c>
      <c r="D79" s="51"/>
      <c r="E79" s="35" t="s">
        <v>64</v>
      </c>
      <c r="F79" s="36">
        <v>0.06</v>
      </c>
      <c r="G79" s="37">
        <f t="shared" si="7"/>
        <v>945443.01</v>
      </c>
      <c r="H79" s="37">
        <f t="shared" si="7"/>
        <v>1160920.28</v>
      </c>
      <c r="I79" s="38">
        <f t="shared" si="6"/>
        <v>-215477.27000000002</v>
      </c>
      <c r="J79" s="22"/>
      <c r="K79" s="22"/>
      <c r="L79" s="22"/>
      <c r="M79" s="22"/>
      <c r="N79" s="22"/>
      <c r="O79" s="22"/>
      <c r="P79" s="31"/>
      <c r="Q79" s="22"/>
      <c r="R79" s="25">
        <v>60092.57</v>
      </c>
      <c r="S79" s="25">
        <v>687778.13</v>
      </c>
      <c r="V79" s="26">
        <f>186949.69+11386.14</f>
        <v>198335.83000000002</v>
      </c>
      <c r="W79" s="26">
        <f>186949.69+11386.14</f>
        <v>198335.83000000002</v>
      </c>
      <c r="X79" s="26">
        <v>7414.46</v>
      </c>
      <c r="Y79" s="5">
        <v>7414.46</v>
      </c>
      <c r="Z79" s="5">
        <v>5639.92</v>
      </c>
      <c r="AA79" s="5">
        <v>5639.92</v>
      </c>
      <c r="AB79" s="5">
        <v>11887.15</v>
      </c>
      <c r="AD79" s="5">
        <v>197931.19</v>
      </c>
      <c r="AE79" s="5">
        <v>197931.19</v>
      </c>
      <c r="AF79" s="5"/>
      <c r="AG79" s="5"/>
      <c r="AR79" s="3">
        <v>63820.75</v>
      </c>
      <c r="AU79" s="5">
        <v>15471.7</v>
      </c>
      <c r="AV79" s="5">
        <v>63820.75</v>
      </c>
      <c r="AY79" s="3">
        <v>287000</v>
      </c>
      <c r="BG79" s="3">
        <v>97849.44</v>
      </c>
    </row>
    <row r="80" spans="2:59" x14ac:dyDescent="0.2">
      <c r="B80" s="32" t="s">
        <v>65</v>
      </c>
      <c r="C80" s="33">
        <v>4570</v>
      </c>
      <c r="D80" s="34" t="s">
        <v>92</v>
      </c>
      <c r="E80" s="35" t="s">
        <v>62</v>
      </c>
      <c r="F80" s="36">
        <v>0.13</v>
      </c>
      <c r="G80" s="37">
        <f t="shared" si="7"/>
        <v>40316.81</v>
      </c>
      <c r="H80" s="37">
        <f t="shared" si="7"/>
        <v>40316.81</v>
      </c>
      <c r="I80" s="38">
        <f t="shared" si="6"/>
        <v>0</v>
      </c>
      <c r="J80" s="22"/>
      <c r="K80" s="22"/>
      <c r="L80" s="22"/>
      <c r="M80" s="22"/>
      <c r="N80" s="22"/>
      <c r="O80" s="22"/>
      <c r="P80" s="31"/>
      <c r="Q80" s="22"/>
      <c r="R80" s="25"/>
      <c r="S80" s="25"/>
      <c r="V80" s="26">
        <v>40316.81</v>
      </c>
      <c r="W80" s="26">
        <v>0</v>
      </c>
      <c r="X80" s="5">
        <v>0</v>
      </c>
      <c r="Y80" s="5">
        <v>0</v>
      </c>
      <c r="AF80" s="5"/>
      <c r="AG80" s="5">
        <v>40316.81</v>
      </c>
    </row>
    <row r="81" spans="2:60" x14ac:dyDescent="0.2">
      <c r="B81" s="32"/>
      <c r="C81" s="39">
        <v>4570</v>
      </c>
      <c r="D81" s="40"/>
      <c r="E81" s="35" t="s">
        <v>63</v>
      </c>
      <c r="F81" s="36">
        <v>0.09</v>
      </c>
      <c r="G81" s="37">
        <f t="shared" si="7"/>
        <v>291262.14</v>
      </c>
      <c r="H81" s="37">
        <f t="shared" si="7"/>
        <v>291262.14</v>
      </c>
      <c r="I81" s="38">
        <f t="shared" si="6"/>
        <v>0</v>
      </c>
      <c r="J81" s="22"/>
      <c r="K81" s="22"/>
      <c r="L81" s="22">
        <v>291262.14</v>
      </c>
      <c r="M81" s="22">
        <v>291262.14</v>
      </c>
      <c r="N81" s="22"/>
      <c r="O81" s="22"/>
      <c r="P81" s="31"/>
      <c r="Q81" s="22"/>
      <c r="R81" s="25"/>
      <c r="S81" s="25"/>
      <c r="V81" s="26">
        <v>0</v>
      </c>
      <c r="W81" s="26">
        <v>0</v>
      </c>
      <c r="X81" s="5">
        <v>0</v>
      </c>
      <c r="Y81" s="5">
        <v>0</v>
      </c>
      <c r="AF81" s="5"/>
      <c r="AG81" s="5"/>
    </row>
    <row r="82" spans="2:60" x14ac:dyDescent="0.2">
      <c r="B82" s="32"/>
      <c r="C82" s="39">
        <v>4570</v>
      </c>
      <c r="D82" s="41"/>
      <c r="E82" s="35" t="s">
        <v>64</v>
      </c>
      <c r="F82" s="36">
        <v>0.06</v>
      </c>
      <c r="G82" s="37">
        <f t="shared" si="7"/>
        <v>10105097.76</v>
      </c>
      <c r="H82" s="37">
        <f t="shared" si="7"/>
        <v>10455260.83</v>
      </c>
      <c r="I82" s="38">
        <f t="shared" si="6"/>
        <v>-350163.0700000003</v>
      </c>
      <c r="J82" s="22"/>
      <c r="K82" s="22"/>
      <c r="L82" s="22">
        <f>4391330.09+329654.87</f>
        <v>4720984.96</v>
      </c>
      <c r="M82" s="22">
        <v>4203905.5599999996</v>
      </c>
      <c r="N82" s="22">
        <v>488607.91</v>
      </c>
      <c r="O82" s="22"/>
      <c r="P82" s="31">
        <v>323799.96999999997</v>
      </c>
      <c r="Q82" s="22">
        <v>1355850.38</v>
      </c>
      <c r="R82" s="25">
        <v>864773.96</v>
      </c>
      <c r="S82" s="25">
        <v>67604.149999999994</v>
      </c>
      <c r="T82" s="5">
        <v>67833.42</v>
      </c>
      <c r="U82" s="5">
        <v>124337.79</v>
      </c>
      <c r="V82" s="26">
        <f>1327755.84+102475.29</f>
        <v>1430231.1300000001</v>
      </c>
      <c r="W82" s="26">
        <v>102475.29</v>
      </c>
      <c r="X82" s="26">
        <v>962956.63</v>
      </c>
      <c r="Y82" s="5">
        <v>66730.210000000006</v>
      </c>
      <c r="Z82" s="5">
        <v>50759.24</v>
      </c>
      <c r="AA82" s="5">
        <v>50759.24</v>
      </c>
      <c r="AB82" s="5">
        <v>467059.25</v>
      </c>
      <c r="AC82" s="5">
        <v>467059.25</v>
      </c>
      <c r="AD82" s="5">
        <v>300060.87</v>
      </c>
      <c r="AF82" s="5"/>
      <c r="AG82" s="5">
        <v>3588508.54</v>
      </c>
      <c r="AN82" s="3">
        <v>157232.70000000001</v>
      </c>
      <c r="AQ82" s="3">
        <v>157232.70000000001</v>
      </c>
      <c r="AR82" s="3">
        <v>181699.17</v>
      </c>
      <c r="AS82" s="5">
        <v>181699.17</v>
      </c>
      <c r="AU82" s="5">
        <v>89098.55</v>
      </c>
      <c r="AZ82" s="3">
        <v>89098.55</v>
      </c>
    </row>
    <row r="83" spans="2:60" x14ac:dyDescent="0.2">
      <c r="B83" s="32" t="s">
        <v>65</v>
      </c>
      <c r="C83" s="33">
        <v>2351</v>
      </c>
      <c r="D83" s="34" t="s">
        <v>93</v>
      </c>
      <c r="E83" s="35" t="s">
        <v>62</v>
      </c>
      <c r="F83" s="36">
        <v>0.13</v>
      </c>
      <c r="G83" s="37">
        <f t="shared" si="7"/>
        <v>0</v>
      </c>
      <c r="H83" s="37">
        <f t="shared" si="7"/>
        <v>0</v>
      </c>
      <c r="I83" s="38">
        <f t="shared" si="6"/>
        <v>0</v>
      </c>
      <c r="J83" s="22"/>
      <c r="K83" s="22"/>
      <c r="L83" s="22"/>
      <c r="M83" s="22"/>
      <c r="N83" s="22"/>
      <c r="O83" s="22"/>
      <c r="P83" s="31"/>
      <c r="Q83" s="22"/>
      <c r="R83" s="25"/>
      <c r="S83" s="25"/>
      <c r="V83" s="26">
        <v>0</v>
      </c>
      <c r="W83" s="26">
        <v>0</v>
      </c>
      <c r="X83" s="5">
        <v>0</v>
      </c>
      <c r="Y83" s="5">
        <v>0</v>
      </c>
      <c r="AF83" s="5"/>
      <c r="AG83" s="5"/>
    </row>
    <row r="84" spans="2:60" x14ac:dyDescent="0.2">
      <c r="B84" s="32"/>
      <c r="C84" s="39">
        <v>2351</v>
      </c>
      <c r="D84" s="40"/>
      <c r="E84" s="35" t="s">
        <v>63</v>
      </c>
      <c r="F84" s="36">
        <v>0.09</v>
      </c>
      <c r="G84" s="37">
        <f t="shared" si="7"/>
        <v>769393.45</v>
      </c>
      <c r="H84" s="37">
        <f t="shared" si="7"/>
        <v>769393.45</v>
      </c>
      <c r="I84" s="38">
        <f t="shared" si="6"/>
        <v>0</v>
      </c>
      <c r="J84" s="22"/>
      <c r="K84" s="22"/>
      <c r="L84" s="22">
        <v>769393.45</v>
      </c>
      <c r="M84" s="22">
        <v>769393.45</v>
      </c>
      <c r="N84" s="22"/>
      <c r="O84" s="22"/>
      <c r="P84" s="31"/>
      <c r="Q84" s="22"/>
      <c r="R84" s="25"/>
      <c r="S84" s="25"/>
      <c r="V84" s="26">
        <v>0</v>
      </c>
      <c r="W84" s="26">
        <v>0</v>
      </c>
      <c r="X84" s="5">
        <v>0</v>
      </c>
      <c r="Y84" s="5">
        <v>0</v>
      </c>
      <c r="AF84" s="5"/>
      <c r="AG84" s="5"/>
    </row>
    <row r="85" spans="2:60" ht="12.95" customHeight="1" x14ac:dyDescent="0.2">
      <c r="B85" s="32"/>
      <c r="C85" s="39">
        <v>2351</v>
      </c>
      <c r="D85" s="41"/>
      <c r="E85" s="35" t="s">
        <v>64</v>
      </c>
      <c r="F85" s="36">
        <v>0.06</v>
      </c>
      <c r="G85" s="37">
        <f t="shared" si="7"/>
        <v>8138787.5099999988</v>
      </c>
      <c r="H85" s="37">
        <f t="shared" si="7"/>
        <v>8461721.3999999985</v>
      </c>
      <c r="I85" s="38">
        <f t="shared" si="6"/>
        <v>-322933.88999999966</v>
      </c>
      <c r="J85" s="22"/>
      <c r="K85" s="22"/>
      <c r="L85" s="22">
        <f>354587.32+4501401.45</f>
        <v>4855988.7700000005</v>
      </c>
      <c r="M85" s="22">
        <v>3388193.9</v>
      </c>
      <c r="N85" s="22">
        <v>420738.6</v>
      </c>
      <c r="O85" s="22"/>
      <c r="P85" s="31">
        <v>226506.05</v>
      </c>
      <c r="Q85" s="22">
        <v>2123417.0499999998</v>
      </c>
      <c r="R85" s="25">
        <v>761004.23</v>
      </c>
      <c r="S85" s="25">
        <v>45069.43</v>
      </c>
      <c r="T85" s="5">
        <v>93440.31</v>
      </c>
      <c r="U85" s="5">
        <v>82891.850000000006</v>
      </c>
      <c r="V85" s="26">
        <v>203692.85</v>
      </c>
      <c r="W85" s="26">
        <v>68316.87</v>
      </c>
      <c r="X85" s="26">
        <v>44486.8</v>
      </c>
      <c r="Y85" s="5">
        <v>44486.8</v>
      </c>
      <c r="Z85" s="5">
        <v>306376.18</v>
      </c>
      <c r="AA85" s="5">
        <v>33839.49</v>
      </c>
      <c r="AB85" s="5">
        <v>143021.01</v>
      </c>
      <c r="AC85" s="5">
        <v>71322.899999999994</v>
      </c>
      <c r="AD85" s="5">
        <v>167722.12</v>
      </c>
      <c r="AF85" s="5"/>
      <c r="AG85" s="5">
        <v>1520650.4</v>
      </c>
      <c r="AJ85" s="3">
        <v>89108.91</v>
      </c>
      <c r="AK85" s="3">
        <v>256831.03</v>
      </c>
      <c r="AN85" s="3">
        <v>260405.04</v>
      </c>
      <c r="AP85" s="3">
        <v>78613.210000000006</v>
      </c>
      <c r="AQ85" s="3">
        <v>339018.25</v>
      </c>
      <c r="AR85" s="3">
        <v>27096.43</v>
      </c>
      <c r="AS85" s="5">
        <v>27096.43</v>
      </c>
      <c r="AU85" s="5">
        <v>460587</v>
      </c>
      <c r="BH85" s="3">
        <v>460587</v>
      </c>
    </row>
    <row r="86" spans="2:60" x14ac:dyDescent="0.2">
      <c r="B86" s="32" t="s">
        <v>65</v>
      </c>
      <c r="C86" s="33">
        <v>3307</v>
      </c>
      <c r="D86" s="34" t="s">
        <v>94</v>
      </c>
      <c r="E86" s="35" t="s">
        <v>62</v>
      </c>
      <c r="F86" s="36">
        <v>0.13</v>
      </c>
      <c r="G86" s="37">
        <f t="shared" si="7"/>
        <v>0</v>
      </c>
      <c r="H86" s="37">
        <f t="shared" si="7"/>
        <v>0</v>
      </c>
      <c r="I86" s="38">
        <f t="shared" si="6"/>
        <v>0</v>
      </c>
      <c r="J86" s="22"/>
      <c r="K86" s="22"/>
      <c r="L86" s="22"/>
      <c r="M86" s="22"/>
      <c r="N86" s="22"/>
      <c r="O86" s="22"/>
      <c r="P86" s="31"/>
      <c r="Q86" s="22"/>
      <c r="R86" s="25"/>
      <c r="S86" s="25"/>
      <c r="V86" s="26">
        <v>0</v>
      </c>
      <c r="W86" s="26">
        <v>0</v>
      </c>
      <c r="X86" s="5">
        <v>0</v>
      </c>
      <c r="Y86" s="5">
        <v>0</v>
      </c>
      <c r="AF86" s="5"/>
      <c r="AG86" s="5"/>
    </row>
    <row r="87" spans="2:60" x14ac:dyDescent="0.2">
      <c r="B87" s="32"/>
      <c r="C87" s="39">
        <v>3307</v>
      </c>
      <c r="D87" s="40"/>
      <c r="E87" s="35" t="s">
        <v>63</v>
      </c>
      <c r="F87" s="36">
        <v>0.09</v>
      </c>
      <c r="G87" s="37">
        <f t="shared" si="7"/>
        <v>194174.76</v>
      </c>
      <c r="H87" s="37">
        <f t="shared" si="7"/>
        <v>194174.76</v>
      </c>
      <c r="I87" s="38">
        <f t="shared" si="6"/>
        <v>0</v>
      </c>
      <c r="J87" s="22"/>
      <c r="K87" s="22"/>
      <c r="L87" s="22">
        <v>194174.76</v>
      </c>
      <c r="M87" s="22">
        <v>194174.76</v>
      </c>
      <c r="N87" s="22"/>
      <c r="O87" s="22"/>
      <c r="P87" s="31"/>
      <c r="Q87" s="22"/>
      <c r="R87" s="25"/>
      <c r="S87" s="25"/>
      <c r="V87" s="26">
        <v>0</v>
      </c>
      <c r="W87" s="26">
        <v>0</v>
      </c>
      <c r="X87" s="5">
        <v>0</v>
      </c>
      <c r="Y87" s="5">
        <v>0</v>
      </c>
      <c r="AF87" s="5"/>
      <c r="AG87" s="5"/>
    </row>
    <row r="88" spans="2:60" x14ac:dyDescent="0.2">
      <c r="B88" s="32"/>
      <c r="C88" s="39">
        <v>3307</v>
      </c>
      <c r="D88" s="41"/>
      <c r="E88" s="35" t="s">
        <v>64</v>
      </c>
      <c r="F88" s="36">
        <v>0.06</v>
      </c>
      <c r="G88" s="37">
        <f t="shared" si="7"/>
        <v>5322473.6800000006</v>
      </c>
      <c r="H88" s="37">
        <f t="shared" si="7"/>
        <v>5584964.9500000002</v>
      </c>
      <c r="I88" s="38">
        <f t="shared" si="6"/>
        <v>-262491.26999999955</v>
      </c>
      <c r="J88" s="22"/>
      <c r="K88" s="22"/>
      <c r="L88" s="22">
        <f>1978162.8+131078.12</f>
        <v>2109240.92</v>
      </c>
      <c r="M88" s="22">
        <v>1918579.88</v>
      </c>
      <c r="N88" s="22">
        <v>54164.39</v>
      </c>
      <c r="O88" s="22"/>
      <c r="P88" s="31">
        <v>555432.9</v>
      </c>
      <c r="Q88" s="22">
        <v>500605.24</v>
      </c>
      <c r="R88" s="25">
        <v>60092.57</v>
      </c>
      <c r="S88" s="25">
        <v>60092.57</v>
      </c>
      <c r="U88" s="5">
        <v>110522.47</v>
      </c>
      <c r="V88" s="54">
        <f>525589.21+91089.15</f>
        <v>616678.36</v>
      </c>
      <c r="W88" s="26">
        <v>91089.15</v>
      </c>
      <c r="X88" s="26">
        <v>141957.25</v>
      </c>
      <c r="Y88" s="5">
        <v>59315.74</v>
      </c>
      <c r="Z88" s="5">
        <v>45119.32</v>
      </c>
      <c r="AA88" s="5">
        <v>45119.32</v>
      </c>
      <c r="AB88" s="5">
        <v>175474.56</v>
      </c>
      <c r="AC88" s="5">
        <v>95097.2</v>
      </c>
      <c r="AD88" s="5">
        <v>87852.62</v>
      </c>
      <c r="AE88" s="5">
        <v>87852.62</v>
      </c>
      <c r="AF88" s="5"/>
      <c r="AG88" s="5">
        <v>1193814.8799999999</v>
      </c>
      <c r="AH88" s="5">
        <v>1099136.69</v>
      </c>
      <c r="AI88" s="5">
        <v>1099136.69</v>
      </c>
      <c r="BC88" s="3">
        <v>323739.19</v>
      </c>
      <c r="BG88" s="3">
        <v>53584.91</v>
      </c>
      <c r="BH88" s="3">
        <v>323739.19</v>
      </c>
    </row>
    <row r="89" spans="2:60" x14ac:dyDescent="0.2">
      <c r="B89" s="32" t="s">
        <v>65</v>
      </c>
      <c r="C89" s="33">
        <v>3307</v>
      </c>
      <c r="D89" s="34" t="s">
        <v>95</v>
      </c>
      <c r="E89" s="35" t="s">
        <v>62</v>
      </c>
      <c r="F89" s="36">
        <v>0.13</v>
      </c>
      <c r="G89" s="37">
        <f t="shared" si="7"/>
        <v>0</v>
      </c>
      <c r="H89" s="37">
        <f t="shared" si="7"/>
        <v>0</v>
      </c>
      <c r="I89" s="38">
        <f t="shared" si="6"/>
        <v>0</v>
      </c>
      <c r="J89" s="22"/>
      <c r="K89" s="22"/>
      <c r="L89" s="22"/>
      <c r="M89" s="22"/>
      <c r="N89" s="22"/>
      <c r="O89" s="22"/>
      <c r="P89" s="31"/>
      <c r="Q89" s="22"/>
      <c r="R89" s="25"/>
      <c r="S89" s="25"/>
      <c r="V89" s="26">
        <v>0</v>
      </c>
      <c r="W89" s="26">
        <v>0</v>
      </c>
      <c r="X89" s="5">
        <v>0</v>
      </c>
      <c r="Y89" s="5">
        <v>0</v>
      </c>
      <c r="AF89" s="5"/>
      <c r="AG89" s="5"/>
    </row>
    <row r="90" spans="2:60" x14ac:dyDescent="0.2">
      <c r="B90" s="32"/>
      <c r="C90" s="39">
        <v>3307</v>
      </c>
      <c r="D90" s="40"/>
      <c r="E90" s="35" t="s">
        <v>63</v>
      </c>
      <c r="F90" s="36">
        <v>0.09</v>
      </c>
      <c r="G90" s="37">
        <f t="shared" si="7"/>
        <v>0</v>
      </c>
      <c r="H90" s="37">
        <f t="shared" si="7"/>
        <v>0</v>
      </c>
      <c r="I90" s="38">
        <f t="shared" si="6"/>
        <v>0</v>
      </c>
      <c r="J90" s="22"/>
      <c r="K90" s="22"/>
      <c r="L90" s="22"/>
      <c r="M90" s="22"/>
      <c r="N90" s="22"/>
      <c r="O90" s="22"/>
      <c r="P90" s="31"/>
      <c r="Q90" s="22"/>
      <c r="R90" s="25"/>
      <c r="S90" s="25"/>
      <c r="V90" s="26">
        <v>0</v>
      </c>
      <c r="W90" s="26">
        <v>0</v>
      </c>
      <c r="X90" s="5">
        <v>0</v>
      </c>
      <c r="Y90" s="5">
        <v>0</v>
      </c>
      <c r="AF90" s="5"/>
      <c r="AG90" s="5"/>
    </row>
    <row r="91" spans="2:60" x14ac:dyDescent="0.2">
      <c r="B91" s="32"/>
      <c r="C91" s="39">
        <v>3307</v>
      </c>
      <c r="D91" s="41"/>
      <c r="E91" s="35" t="s">
        <v>64</v>
      </c>
      <c r="F91" s="36">
        <v>0.06</v>
      </c>
      <c r="G91" s="37">
        <f t="shared" si="7"/>
        <v>3482281.25</v>
      </c>
      <c r="H91" s="37">
        <f t="shared" si="7"/>
        <v>3677764.6900000004</v>
      </c>
      <c r="I91" s="38">
        <f t="shared" si="6"/>
        <v>-195483.44000000041</v>
      </c>
      <c r="J91" s="22"/>
      <c r="K91" s="22"/>
      <c r="L91" s="22">
        <f>1299437.53+115623.92</f>
        <v>1415061.45</v>
      </c>
      <c r="M91" s="22">
        <v>1245812.8999999999</v>
      </c>
      <c r="N91" s="22">
        <v>54164.39</v>
      </c>
      <c r="O91" s="22"/>
      <c r="P91" s="31">
        <v>352625.48</v>
      </c>
      <c r="Q91" s="22">
        <v>479192.75</v>
      </c>
      <c r="R91" s="25">
        <v>60092.57</v>
      </c>
      <c r="S91" s="25">
        <v>60092.57</v>
      </c>
      <c r="T91" s="5">
        <v>120592.74</v>
      </c>
      <c r="U91" s="5">
        <v>110522.47</v>
      </c>
      <c r="V91" s="26">
        <f>408373.06+91089.15</f>
        <v>499462.20999999996</v>
      </c>
      <c r="W91" s="26">
        <v>91089.15</v>
      </c>
      <c r="X91" s="26">
        <v>59315.74</v>
      </c>
      <c r="Y91" s="26">
        <v>59315.74</v>
      </c>
      <c r="Z91" s="5">
        <v>45119.32</v>
      </c>
      <c r="AA91" s="5">
        <v>45119.32</v>
      </c>
      <c r="AB91" s="5">
        <v>95097.2</v>
      </c>
      <c r="AC91" s="5">
        <v>95097.2</v>
      </c>
      <c r="AD91" s="5">
        <v>87852.62</v>
      </c>
      <c r="AE91" s="5">
        <v>87852.62</v>
      </c>
      <c r="AF91" s="5"/>
      <c r="AG91" s="5">
        <v>710772.44</v>
      </c>
      <c r="AH91" s="46">
        <v>473848.28</v>
      </c>
      <c r="AI91" s="46">
        <v>473848.28</v>
      </c>
      <c r="BC91" s="3">
        <v>219049.25</v>
      </c>
      <c r="BH91" s="3">
        <v>219049.25</v>
      </c>
    </row>
    <row r="92" spans="2:60" x14ac:dyDescent="0.2">
      <c r="B92" s="32" t="s">
        <v>65</v>
      </c>
      <c r="C92" s="33">
        <v>2058</v>
      </c>
      <c r="D92" s="34" t="s">
        <v>96</v>
      </c>
      <c r="E92" s="35" t="s">
        <v>62</v>
      </c>
      <c r="F92" s="36">
        <v>0.13</v>
      </c>
      <c r="G92" s="37">
        <f t="shared" si="7"/>
        <v>165026.54999999999</v>
      </c>
      <c r="H92" s="37">
        <f t="shared" si="7"/>
        <v>165026.54999999999</v>
      </c>
      <c r="I92" s="38">
        <f t="shared" si="6"/>
        <v>0</v>
      </c>
      <c r="J92" s="22"/>
      <c r="K92" s="22"/>
      <c r="L92" s="22"/>
      <c r="M92" s="22"/>
      <c r="N92" s="22"/>
      <c r="O92" s="22"/>
      <c r="P92" s="31"/>
      <c r="Q92" s="22"/>
      <c r="R92" s="25"/>
      <c r="S92" s="25"/>
      <c r="V92" s="26">
        <v>0</v>
      </c>
      <c r="W92" s="26">
        <v>0</v>
      </c>
      <c r="X92" s="5">
        <v>0</v>
      </c>
      <c r="Y92" s="5">
        <v>0</v>
      </c>
      <c r="AF92" s="5"/>
      <c r="AG92" s="5"/>
      <c r="AW92" s="5">
        <v>165026.54999999999</v>
      </c>
      <c r="AX92" s="5">
        <v>165026.54999999999</v>
      </c>
    </row>
    <row r="93" spans="2:60" x14ac:dyDescent="0.2">
      <c r="B93" s="32"/>
      <c r="C93" s="39">
        <v>2058</v>
      </c>
      <c r="D93" s="40"/>
      <c r="E93" s="35" t="s">
        <v>63</v>
      </c>
      <c r="F93" s="36">
        <v>0.09</v>
      </c>
      <c r="G93" s="37">
        <f t="shared" si="7"/>
        <v>0</v>
      </c>
      <c r="H93" s="37">
        <f t="shared" si="7"/>
        <v>0</v>
      </c>
      <c r="I93" s="38">
        <f t="shared" si="6"/>
        <v>0</v>
      </c>
      <c r="J93" s="22"/>
      <c r="K93" s="22"/>
      <c r="L93" s="22"/>
      <c r="M93" s="22"/>
      <c r="N93" s="22"/>
      <c r="O93" s="22"/>
      <c r="P93" s="31"/>
      <c r="Q93" s="22"/>
      <c r="R93" s="25"/>
      <c r="S93" s="25"/>
      <c r="V93" s="26">
        <v>0</v>
      </c>
      <c r="W93" s="26">
        <v>0</v>
      </c>
      <c r="X93" s="5">
        <v>0</v>
      </c>
      <c r="Y93" s="5">
        <v>0</v>
      </c>
      <c r="AF93" s="5"/>
      <c r="AG93" s="5"/>
    </row>
    <row r="94" spans="2:60" x14ac:dyDescent="0.2">
      <c r="B94" s="32"/>
      <c r="C94" s="39">
        <v>2058</v>
      </c>
      <c r="D94" s="41"/>
      <c r="E94" s="35" t="s">
        <v>64</v>
      </c>
      <c r="F94" s="36">
        <v>0.06</v>
      </c>
      <c r="G94" s="37">
        <f t="shared" si="7"/>
        <v>3616053.29</v>
      </c>
      <c r="H94" s="37">
        <f t="shared" si="7"/>
        <v>3786782.4499999997</v>
      </c>
      <c r="I94" s="38">
        <f t="shared" si="6"/>
        <v>-170729.15999999968</v>
      </c>
      <c r="J94" s="22"/>
      <c r="K94" s="22"/>
      <c r="L94" s="22">
        <f>1077061.32+144175.76</f>
        <v>1221237.08</v>
      </c>
      <c r="M94" s="22">
        <v>995856.92</v>
      </c>
      <c r="N94" s="22">
        <v>221154.96</v>
      </c>
      <c r="O94" s="22"/>
      <c r="P94" s="31">
        <v>74754.399999999994</v>
      </c>
      <c r="Q94" s="22">
        <v>705314.59</v>
      </c>
      <c r="R94" s="25">
        <f>60092.57+81205.45</f>
        <v>141298.01999999999</v>
      </c>
      <c r="S94" s="25">
        <v>60092.57</v>
      </c>
      <c r="T94" s="5">
        <v>366187.35</v>
      </c>
      <c r="U94" s="5">
        <v>110522.47</v>
      </c>
      <c r="V94" s="26">
        <f>484600.63+91089.15</f>
        <v>575689.78</v>
      </c>
      <c r="W94" s="26">
        <v>91089.15</v>
      </c>
      <c r="X94" s="26">
        <v>59315.74</v>
      </c>
      <c r="Y94" s="5">
        <v>59315.74</v>
      </c>
      <c r="Z94" s="5">
        <v>45119.32</v>
      </c>
      <c r="AA94" s="5">
        <v>45119.32</v>
      </c>
      <c r="AB94" s="5">
        <v>387259.95</v>
      </c>
      <c r="AD94" s="5">
        <v>111327.03999999999</v>
      </c>
      <c r="AF94" s="5"/>
      <c r="AG94" s="5">
        <v>1195435</v>
      </c>
      <c r="AJ94" s="3">
        <v>200000</v>
      </c>
      <c r="AK94" s="3">
        <v>311327.03999999998</v>
      </c>
      <c r="AL94" s="3">
        <v>185642.56</v>
      </c>
      <c r="AN94" s="3">
        <v>27067.09</v>
      </c>
      <c r="AQ94" s="3">
        <v>212709.65</v>
      </c>
    </row>
    <row r="95" spans="2:60" x14ac:dyDescent="0.2">
      <c r="B95" s="32" t="s">
        <v>65</v>
      </c>
      <c r="C95" s="33">
        <v>3308</v>
      </c>
      <c r="D95" s="34" t="s">
        <v>97</v>
      </c>
      <c r="E95" s="35" t="s">
        <v>62</v>
      </c>
      <c r="F95" s="36">
        <v>0.13</v>
      </c>
      <c r="G95" s="37">
        <f t="shared" si="7"/>
        <v>0</v>
      </c>
      <c r="H95" s="37">
        <f t="shared" si="7"/>
        <v>0</v>
      </c>
      <c r="I95" s="38">
        <f t="shared" si="6"/>
        <v>0</v>
      </c>
      <c r="J95" s="22"/>
      <c r="K95" s="22"/>
      <c r="L95" s="22"/>
      <c r="M95" s="22"/>
      <c r="N95" s="22"/>
      <c r="O95" s="22"/>
      <c r="P95" s="31"/>
      <c r="Q95" s="22"/>
      <c r="R95" s="25"/>
      <c r="S95" s="25"/>
      <c r="V95" s="26">
        <v>0</v>
      </c>
      <c r="W95" s="26">
        <v>0</v>
      </c>
      <c r="X95" s="5">
        <v>0</v>
      </c>
      <c r="Y95" s="5">
        <v>0</v>
      </c>
      <c r="AF95" s="5"/>
      <c r="AG95" s="5"/>
    </row>
    <row r="96" spans="2:60" x14ac:dyDescent="0.2">
      <c r="B96" s="32"/>
      <c r="C96" s="39">
        <v>3308</v>
      </c>
      <c r="D96" s="40"/>
      <c r="E96" s="35" t="s">
        <v>63</v>
      </c>
      <c r="F96" s="36">
        <v>0.09</v>
      </c>
      <c r="G96" s="37">
        <f t="shared" si="7"/>
        <v>214563.11</v>
      </c>
      <c r="H96" s="37">
        <f t="shared" si="7"/>
        <v>214563.11</v>
      </c>
      <c r="I96" s="38">
        <f t="shared" si="6"/>
        <v>0</v>
      </c>
      <c r="J96" s="22"/>
      <c r="K96" s="22"/>
      <c r="L96" s="22">
        <v>214563.11</v>
      </c>
      <c r="M96" s="22">
        <v>214563.11</v>
      </c>
      <c r="N96" s="22"/>
      <c r="O96" s="22"/>
      <c r="P96" s="31"/>
      <c r="Q96" s="22"/>
      <c r="R96" s="25"/>
      <c r="S96" s="25"/>
      <c r="V96" s="26">
        <v>0</v>
      </c>
      <c r="W96" s="26">
        <v>0</v>
      </c>
      <c r="X96" s="5">
        <v>0</v>
      </c>
      <c r="Y96" s="5">
        <v>0</v>
      </c>
      <c r="AF96" s="5"/>
      <c r="AG96" s="5"/>
    </row>
    <row r="97" spans="2:60" x14ac:dyDescent="0.2">
      <c r="B97" s="32"/>
      <c r="C97" s="39">
        <v>3308</v>
      </c>
      <c r="D97" s="41"/>
      <c r="E97" s="35" t="s">
        <v>64</v>
      </c>
      <c r="F97" s="36">
        <v>0.06</v>
      </c>
      <c r="G97" s="37">
        <f t="shared" si="7"/>
        <v>10809476.770000001</v>
      </c>
      <c r="H97" s="37">
        <f t="shared" si="7"/>
        <v>11105978.039999999</v>
      </c>
      <c r="I97" s="38">
        <f t="shared" si="6"/>
        <v>-296501.26999999769</v>
      </c>
      <c r="J97" s="22"/>
      <c r="K97" s="22"/>
      <c r="L97" s="22">
        <f>3640904.27+199508.76</f>
        <v>3840413.0300000003</v>
      </c>
      <c r="M97" s="22">
        <v>3640904.27</v>
      </c>
      <c r="N97" s="22">
        <v>60934.95</v>
      </c>
      <c r="O97" s="22"/>
      <c r="P97" s="31">
        <v>406510.66</v>
      </c>
      <c r="Q97" s="22">
        <v>556944.98</v>
      </c>
      <c r="R97" s="25">
        <v>67604.149999999994</v>
      </c>
      <c r="S97" s="25">
        <v>67604.149999999994</v>
      </c>
      <c r="T97" s="5">
        <v>2107833.42</v>
      </c>
      <c r="U97" s="5">
        <v>124337.79</v>
      </c>
      <c r="V97" s="26">
        <f>102475.29+1542313.07</f>
        <v>1644788.36</v>
      </c>
      <c r="W97" s="26">
        <v>102475.29</v>
      </c>
      <c r="X97" s="26">
        <v>66730.210000000006</v>
      </c>
      <c r="Y97" s="5">
        <v>66730.210000000006</v>
      </c>
      <c r="Z97" s="5">
        <v>50759.24</v>
      </c>
      <c r="AA97" s="5">
        <v>50759.24</v>
      </c>
      <c r="AB97" s="5">
        <v>106984.35</v>
      </c>
      <c r="AC97" s="5">
        <v>106984.35</v>
      </c>
      <c r="AD97" s="5">
        <v>179211.56</v>
      </c>
      <c r="AE97" s="5">
        <v>98834.2</v>
      </c>
      <c r="AF97" s="5"/>
      <c r="AG97" s="5">
        <v>3932319.36</v>
      </c>
      <c r="AH97" s="5">
        <v>1659585.18</v>
      </c>
      <c r="AI97" s="5">
        <v>1659585.18</v>
      </c>
      <c r="AK97" s="3">
        <v>80377.36</v>
      </c>
      <c r="BC97" s="3">
        <v>618121.66</v>
      </c>
      <c r="BH97" s="3">
        <v>618121.66</v>
      </c>
    </row>
    <row r="98" spans="2:60" x14ac:dyDescent="0.2">
      <c r="B98" s="32" t="s">
        <v>65</v>
      </c>
      <c r="C98" s="33">
        <v>2057</v>
      </c>
      <c r="D98" s="49" t="s">
        <v>98</v>
      </c>
      <c r="E98" s="35" t="s">
        <v>62</v>
      </c>
      <c r="F98" s="36">
        <v>0.13</v>
      </c>
      <c r="G98" s="37">
        <f t="shared" si="7"/>
        <v>0</v>
      </c>
      <c r="H98" s="37">
        <f t="shared" si="7"/>
        <v>0</v>
      </c>
      <c r="I98" s="38">
        <f t="shared" si="6"/>
        <v>0</v>
      </c>
      <c r="J98" s="22"/>
      <c r="K98" s="22"/>
      <c r="L98" s="22"/>
      <c r="M98" s="22"/>
      <c r="N98" s="22"/>
      <c r="O98" s="22"/>
      <c r="P98" s="31"/>
      <c r="Q98" s="22"/>
      <c r="R98" s="25"/>
      <c r="S98" s="25"/>
      <c r="V98" s="26">
        <v>0</v>
      </c>
      <c r="W98" s="26">
        <v>0</v>
      </c>
      <c r="X98" s="5">
        <v>0</v>
      </c>
      <c r="Y98" s="5">
        <v>0</v>
      </c>
      <c r="AF98" s="5"/>
      <c r="AG98" s="5"/>
    </row>
    <row r="99" spans="2:60" x14ac:dyDescent="0.2">
      <c r="B99" s="32"/>
      <c r="C99" s="39">
        <v>2057</v>
      </c>
      <c r="D99" s="40"/>
      <c r="E99" s="35" t="s">
        <v>63</v>
      </c>
      <c r="F99" s="36">
        <v>0.09</v>
      </c>
      <c r="G99" s="37">
        <f t="shared" si="7"/>
        <v>0</v>
      </c>
      <c r="H99" s="37">
        <f t="shared" si="7"/>
        <v>0</v>
      </c>
      <c r="I99" s="38">
        <f t="shared" si="6"/>
        <v>0</v>
      </c>
      <c r="J99" s="22"/>
      <c r="K99" s="22"/>
      <c r="L99" s="22"/>
      <c r="M99" s="22"/>
      <c r="N99" s="22"/>
      <c r="O99" s="22"/>
      <c r="P99" s="31"/>
      <c r="Q99" s="22"/>
      <c r="R99" s="25"/>
      <c r="S99" s="25"/>
      <c r="V99" s="26">
        <v>0</v>
      </c>
      <c r="W99" s="26">
        <v>0</v>
      </c>
      <c r="X99" s="5">
        <v>0</v>
      </c>
      <c r="Y99" s="5">
        <v>0</v>
      </c>
      <c r="AF99" s="5"/>
      <c r="AG99" s="5"/>
    </row>
    <row r="100" spans="2:60" x14ac:dyDescent="0.2">
      <c r="B100" s="32"/>
      <c r="C100" s="39">
        <v>2057</v>
      </c>
      <c r="D100" s="41"/>
      <c r="E100" s="35" t="s">
        <v>64</v>
      </c>
      <c r="F100" s="36">
        <v>0.06</v>
      </c>
      <c r="G100" s="37">
        <f t="shared" si="7"/>
        <v>1706596.8</v>
      </c>
      <c r="H100" s="37">
        <f t="shared" si="7"/>
        <v>1903931.02</v>
      </c>
      <c r="I100" s="38">
        <f t="shared" si="6"/>
        <v>-197334.21999999997</v>
      </c>
      <c r="J100" s="22"/>
      <c r="K100" s="22"/>
      <c r="L100" s="22">
        <f>497018.11+195454.72</f>
        <v>692472.83</v>
      </c>
      <c r="M100" s="22">
        <v>195454.72</v>
      </c>
      <c r="N100" s="22">
        <v>40623.300000000003</v>
      </c>
      <c r="O100" s="22"/>
      <c r="P100" s="31">
        <v>37669.57</v>
      </c>
      <c r="Q100" s="22">
        <v>734975.63</v>
      </c>
      <c r="R100" s="25">
        <v>45069.43</v>
      </c>
      <c r="S100" s="25">
        <v>45069.43</v>
      </c>
      <c r="T100" s="5">
        <v>45222.28</v>
      </c>
      <c r="U100" s="5">
        <v>82891.850000000006</v>
      </c>
      <c r="V100" s="26">
        <f>200000+68316.87</f>
        <v>268316.87</v>
      </c>
      <c r="W100" s="26">
        <v>68316.87</v>
      </c>
      <c r="X100" s="26">
        <v>44486.8</v>
      </c>
      <c r="Y100" s="26">
        <v>44486.8</v>
      </c>
      <c r="Z100" s="5">
        <v>33839.49</v>
      </c>
      <c r="AA100" s="5">
        <v>33839.49</v>
      </c>
      <c r="AB100" s="5">
        <v>166298.74</v>
      </c>
      <c r="AF100" s="5">
        <v>277164.57</v>
      </c>
      <c r="AG100" s="5">
        <v>366298.74</v>
      </c>
      <c r="AK100" s="3">
        <v>277164.57</v>
      </c>
      <c r="BC100" s="3">
        <v>55432.92</v>
      </c>
      <c r="BH100" s="3">
        <v>55432.92</v>
      </c>
    </row>
    <row r="101" spans="2:60" x14ac:dyDescent="0.2">
      <c r="B101" s="32" t="s">
        <v>65</v>
      </c>
      <c r="C101" s="33">
        <v>3324</v>
      </c>
      <c r="D101" s="34" t="s">
        <v>99</v>
      </c>
      <c r="E101" s="35" t="s">
        <v>62</v>
      </c>
      <c r="F101" s="36">
        <v>0.13</v>
      </c>
      <c r="G101" s="37">
        <f t="shared" si="7"/>
        <v>3899293.8</v>
      </c>
      <c r="H101" s="37">
        <f t="shared" si="7"/>
        <v>3899293.8</v>
      </c>
      <c r="I101" s="38">
        <f t="shared" si="6"/>
        <v>0</v>
      </c>
      <c r="J101" s="22"/>
      <c r="K101" s="22"/>
      <c r="L101" s="22"/>
      <c r="M101" s="22"/>
      <c r="N101" s="22"/>
      <c r="O101" s="22"/>
      <c r="P101" s="31"/>
      <c r="Q101" s="22"/>
      <c r="R101" s="25"/>
      <c r="S101" s="25"/>
      <c r="V101" s="26">
        <v>0</v>
      </c>
      <c r="W101" s="26">
        <v>0</v>
      </c>
      <c r="X101" s="5">
        <v>0</v>
      </c>
      <c r="Y101" s="5">
        <v>0</v>
      </c>
      <c r="AF101" s="5"/>
      <c r="AG101" s="5"/>
      <c r="AL101" s="3">
        <v>3899293.8</v>
      </c>
      <c r="AM101" s="3">
        <v>3899293.8</v>
      </c>
    </row>
    <row r="102" spans="2:60" x14ac:dyDescent="0.2">
      <c r="B102" s="32"/>
      <c r="C102" s="39">
        <v>3324</v>
      </c>
      <c r="D102" s="40"/>
      <c r="E102" s="35" t="s">
        <v>63</v>
      </c>
      <c r="F102" s="36">
        <v>0.09</v>
      </c>
      <c r="G102" s="37">
        <f t="shared" si="7"/>
        <v>0</v>
      </c>
      <c r="H102" s="37">
        <f t="shared" si="7"/>
        <v>0</v>
      </c>
      <c r="I102" s="38">
        <f t="shared" si="6"/>
        <v>0</v>
      </c>
      <c r="J102" s="22"/>
      <c r="K102" s="22"/>
      <c r="L102" s="22"/>
      <c r="M102" s="22"/>
      <c r="N102" s="22"/>
      <c r="O102" s="22"/>
      <c r="P102" s="31"/>
      <c r="Q102" s="22"/>
      <c r="R102" s="25"/>
      <c r="S102" s="25"/>
      <c r="V102" s="26">
        <v>0</v>
      </c>
      <c r="W102" s="26">
        <v>0</v>
      </c>
      <c r="X102" s="5">
        <v>0</v>
      </c>
      <c r="Y102" s="5">
        <v>0</v>
      </c>
      <c r="AF102" s="5"/>
      <c r="AG102" s="5"/>
    </row>
    <row r="103" spans="2:60" x14ac:dyDescent="0.2">
      <c r="B103" s="32"/>
      <c r="C103" s="39">
        <v>3324</v>
      </c>
      <c r="D103" s="41"/>
      <c r="E103" s="35" t="s">
        <v>64</v>
      </c>
      <c r="F103" s="36">
        <v>0.06</v>
      </c>
      <c r="G103" s="37">
        <f t="shared" si="7"/>
        <v>6775261.2300000004</v>
      </c>
      <c r="H103" s="37">
        <f t="shared" si="7"/>
        <v>6706944.3600000003</v>
      </c>
      <c r="I103" s="38">
        <f t="shared" si="6"/>
        <v>68316.870000000112</v>
      </c>
      <c r="J103" s="22"/>
      <c r="K103" s="22"/>
      <c r="L103" s="22">
        <f>1034075.48+363745.65</f>
        <v>1397821.13</v>
      </c>
      <c r="M103" s="22">
        <v>1034075.48</v>
      </c>
      <c r="N103" s="22">
        <v>685277.39</v>
      </c>
      <c r="O103" s="22"/>
      <c r="P103" s="31">
        <v>37669.57</v>
      </c>
      <c r="Q103" s="22">
        <v>1049023.04</v>
      </c>
      <c r="R103" s="25">
        <f>429769.38+45069.43</f>
        <v>474838.81</v>
      </c>
      <c r="S103" s="25">
        <v>45069.43</v>
      </c>
      <c r="T103" s="5">
        <v>1213146.8</v>
      </c>
      <c r="U103" s="5">
        <v>82891.850000000006</v>
      </c>
      <c r="V103" s="26">
        <v>1253065.3</v>
      </c>
      <c r="W103" s="26">
        <v>0</v>
      </c>
      <c r="X103" s="26">
        <v>195430.2</v>
      </c>
      <c r="Y103" s="5">
        <v>44486.8</v>
      </c>
      <c r="Z103" s="5">
        <v>33839.49</v>
      </c>
      <c r="AA103" s="5">
        <v>33839.49</v>
      </c>
      <c r="AB103" s="5">
        <v>1203398.3700000001</v>
      </c>
      <c r="AC103" s="5">
        <v>71322.899999999994</v>
      </c>
      <c r="AD103" s="5">
        <v>65889.460000000006</v>
      </c>
      <c r="AE103" s="5">
        <v>65889.460000000006</v>
      </c>
      <c r="AF103" s="5"/>
      <c r="AG103" s="5">
        <v>4065461.2</v>
      </c>
      <c r="AU103" s="5">
        <v>214884.71</v>
      </c>
      <c r="AZ103" s="3">
        <v>214884.71</v>
      </c>
    </row>
    <row r="104" spans="2:60" x14ac:dyDescent="0.2">
      <c r="B104" s="32" t="s">
        <v>65</v>
      </c>
      <c r="C104" s="33">
        <v>4460</v>
      </c>
      <c r="D104" s="34" t="s">
        <v>100</v>
      </c>
      <c r="E104" s="35" t="s">
        <v>62</v>
      </c>
      <c r="F104" s="36">
        <v>0.13</v>
      </c>
      <c r="G104" s="37">
        <f t="shared" si="7"/>
        <v>0</v>
      </c>
      <c r="H104" s="37">
        <f t="shared" si="7"/>
        <v>0</v>
      </c>
      <c r="I104" s="38">
        <f t="shared" si="6"/>
        <v>0</v>
      </c>
      <c r="J104" s="22"/>
      <c r="K104" s="22"/>
      <c r="L104" s="22"/>
      <c r="M104" s="22"/>
      <c r="N104" s="22"/>
      <c r="O104" s="22"/>
      <c r="P104" s="31"/>
      <c r="Q104" s="22"/>
      <c r="R104" s="25"/>
      <c r="S104" s="25"/>
      <c r="V104" s="26">
        <v>0</v>
      </c>
      <c r="W104" s="26">
        <v>0</v>
      </c>
      <c r="X104" s="5">
        <v>0</v>
      </c>
      <c r="Y104" s="5">
        <v>0</v>
      </c>
      <c r="AF104" s="5"/>
      <c r="AG104" s="5"/>
    </row>
    <row r="105" spans="2:60" x14ac:dyDescent="0.2">
      <c r="B105" s="32"/>
      <c r="C105" s="39">
        <v>4460</v>
      </c>
      <c r="D105" s="40"/>
      <c r="E105" s="35" t="s">
        <v>63</v>
      </c>
      <c r="F105" s="36">
        <v>0.09</v>
      </c>
      <c r="G105" s="37">
        <f t="shared" si="7"/>
        <v>0</v>
      </c>
      <c r="H105" s="37">
        <f t="shared" si="7"/>
        <v>0</v>
      </c>
      <c r="I105" s="38">
        <f t="shared" si="6"/>
        <v>0</v>
      </c>
      <c r="J105" s="22"/>
      <c r="K105" s="22"/>
      <c r="L105" s="22"/>
      <c r="M105" s="22"/>
      <c r="N105" s="22"/>
      <c r="O105" s="22"/>
      <c r="P105" s="31"/>
      <c r="Q105" s="22"/>
      <c r="R105" s="25"/>
      <c r="S105" s="25"/>
      <c r="V105" s="26">
        <v>0</v>
      </c>
      <c r="W105" s="26">
        <v>0</v>
      </c>
      <c r="X105" s="5">
        <v>0</v>
      </c>
      <c r="Y105" s="5">
        <v>0</v>
      </c>
      <c r="AF105" s="5"/>
      <c r="AG105" s="5"/>
    </row>
    <row r="106" spans="2:60" x14ac:dyDescent="0.2">
      <c r="B106" s="32"/>
      <c r="C106" s="39">
        <v>4460</v>
      </c>
      <c r="D106" s="41"/>
      <c r="E106" s="35" t="s">
        <v>64</v>
      </c>
      <c r="F106" s="36">
        <v>0.06</v>
      </c>
      <c r="G106" s="37">
        <f t="shared" si="7"/>
        <v>282345.31999999995</v>
      </c>
      <c r="H106" s="37">
        <f t="shared" si="7"/>
        <v>282345.32</v>
      </c>
      <c r="I106" s="38">
        <f t="shared" si="6"/>
        <v>0</v>
      </c>
      <c r="J106" s="22"/>
      <c r="K106" s="22"/>
      <c r="L106" s="22">
        <v>165100.22</v>
      </c>
      <c r="M106" s="22"/>
      <c r="N106" s="22">
        <v>16926.37</v>
      </c>
      <c r="O106" s="22"/>
      <c r="P106" s="31">
        <v>15695.65</v>
      </c>
      <c r="Q106" s="22">
        <v>182026.59</v>
      </c>
      <c r="R106" s="25">
        <v>18778.93</v>
      </c>
      <c r="S106" s="25">
        <v>18778.93</v>
      </c>
      <c r="T106" s="5">
        <v>18842.62</v>
      </c>
      <c r="U106" s="5">
        <v>18842.62</v>
      </c>
      <c r="V106" s="26">
        <v>28465.360000000001</v>
      </c>
      <c r="W106" s="26">
        <v>28465.360000000001</v>
      </c>
      <c r="X106" s="26">
        <v>18536.169999999998</v>
      </c>
      <c r="Y106" s="5">
        <v>34231.82</v>
      </c>
      <c r="AF106" s="5"/>
      <c r="AG106" s="5"/>
    </row>
    <row r="107" spans="2:60" x14ac:dyDescent="0.2">
      <c r="B107" s="32" t="s">
        <v>65</v>
      </c>
      <c r="C107" s="33">
        <v>3100</v>
      </c>
      <c r="D107" s="34" t="s">
        <v>101</v>
      </c>
      <c r="E107" s="35" t="s">
        <v>62</v>
      </c>
      <c r="F107" s="36">
        <v>0.13</v>
      </c>
      <c r="G107" s="37">
        <f t="shared" si="7"/>
        <v>0</v>
      </c>
      <c r="H107" s="37">
        <f t="shared" si="7"/>
        <v>0</v>
      </c>
      <c r="I107" s="38">
        <f t="shared" si="6"/>
        <v>0</v>
      </c>
      <c r="J107" s="22"/>
      <c r="K107" s="22"/>
      <c r="L107" s="22"/>
      <c r="M107" s="22"/>
      <c r="N107" s="22"/>
      <c r="O107" s="22"/>
      <c r="P107" s="31"/>
      <c r="Q107" s="22"/>
      <c r="R107" s="25"/>
      <c r="S107" s="25"/>
      <c r="V107" s="26">
        <v>0</v>
      </c>
      <c r="W107" s="26">
        <v>0</v>
      </c>
      <c r="X107" s="26">
        <v>0</v>
      </c>
      <c r="Y107" s="26">
        <v>0</v>
      </c>
      <c r="AF107" s="5"/>
      <c r="AG107" s="5"/>
    </row>
    <row r="108" spans="2:60" x14ac:dyDescent="0.2">
      <c r="B108" s="32"/>
      <c r="C108" s="39">
        <v>3100</v>
      </c>
      <c r="D108" s="40"/>
      <c r="E108" s="35" t="s">
        <v>63</v>
      </c>
      <c r="F108" s="36">
        <v>0.09</v>
      </c>
      <c r="G108" s="37">
        <f t="shared" si="7"/>
        <v>0</v>
      </c>
      <c r="H108" s="37">
        <f t="shared" si="7"/>
        <v>0</v>
      </c>
      <c r="I108" s="38">
        <f t="shared" si="6"/>
        <v>0</v>
      </c>
      <c r="J108" s="22"/>
      <c r="K108" s="22"/>
      <c r="L108" s="22"/>
      <c r="M108" s="22"/>
      <c r="N108" s="22"/>
      <c r="O108" s="22"/>
      <c r="P108" s="31"/>
      <c r="Q108" s="22"/>
      <c r="R108" s="25"/>
      <c r="S108" s="25"/>
      <c r="V108" s="26">
        <v>0</v>
      </c>
      <c r="W108" s="26">
        <v>0</v>
      </c>
      <c r="X108" s="26">
        <v>0</v>
      </c>
      <c r="Y108" s="26">
        <v>0</v>
      </c>
      <c r="AF108" s="5"/>
      <c r="AG108" s="5"/>
    </row>
    <row r="109" spans="2:60" x14ac:dyDescent="0.2">
      <c r="B109" s="32"/>
      <c r="C109" s="48">
        <v>3100</v>
      </c>
      <c r="D109" s="41"/>
      <c r="E109" s="35" t="s">
        <v>64</v>
      </c>
      <c r="F109" s="36">
        <v>0.06</v>
      </c>
      <c r="G109" s="37">
        <f t="shared" si="7"/>
        <v>0</v>
      </c>
      <c r="H109" s="37">
        <f t="shared" si="7"/>
        <v>1772971.66</v>
      </c>
      <c r="I109" s="38">
        <f t="shared" si="6"/>
        <v>-1772971.66</v>
      </c>
      <c r="J109" s="22"/>
      <c r="K109" s="22"/>
      <c r="L109" s="22"/>
      <c r="M109" s="22"/>
      <c r="N109" s="22"/>
      <c r="O109" s="22"/>
      <c r="P109" s="31"/>
      <c r="Q109" s="22">
        <v>1772971.66</v>
      </c>
      <c r="R109" s="25"/>
      <c r="S109" s="25"/>
      <c r="V109" s="26">
        <v>0</v>
      </c>
      <c r="W109" s="26">
        <v>0</v>
      </c>
      <c r="X109" s="26">
        <v>0</v>
      </c>
      <c r="Y109" s="26">
        <v>0</v>
      </c>
      <c r="AF109" s="5"/>
      <c r="AG109" s="5"/>
    </row>
    <row r="110" spans="2:60" x14ac:dyDescent="0.2">
      <c r="B110" s="32" t="s">
        <v>65</v>
      </c>
      <c r="C110" s="33">
        <v>3353</v>
      </c>
      <c r="D110" s="49" t="s">
        <v>102</v>
      </c>
      <c r="E110" s="35" t="s">
        <v>62</v>
      </c>
      <c r="F110" s="36">
        <v>0.13</v>
      </c>
      <c r="G110" s="37">
        <f t="shared" si="7"/>
        <v>255060265.32999998</v>
      </c>
      <c r="H110" s="37">
        <f t="shared" si="7"/>
        <v>255060265.32999998</v>
      </c>
      <c r="I110" s="38">
        <f t="shared" si="6"/>
        <v>0</v>
      </c>
      <c r="J110" s="22"/>
      <c r="K110" s="22"/>
      <c r="L110" s="22"/>
      <c r="M110" s="22"/>
      <c r="N110" s="22"/>
      <c r="O110" s="22"/>
      <c r="P110" s="31"/>
      <c r="Q110" s="22"/>
      <c r="R110" s="25"/>
      <c r="S110" s="25"/>
      <c r="X110" s="5">
        <v>0</v>
      </c>
      <c r="Y110" s="5">
        <v>0</v>
      </c>
      <c r="AB110" s="5">
        <v>2268932.06</v>
      </c>
      <c r="AD110" s="5">
        <v>246463899.63999999</v>
      </c>
      <c r="AF110" s="5"/>
      <c r="AG110" s="5"/>
      <c r="AJ110" s="3">
        <v>6327433.6299999999</v>
      </c>
      <c r="AK110" s="3">
        <v>173438843.69999999</v>
      </c>
      <c r="AQ110" s="3">
        <v>81621421.629999995</v>
      </c>
    </row>
    <row r="111" spans="2:60" x14ac:dyDescent="0.2">
      <c r="B111" s="32"/>
      <c r="C111" s="39">
        <v>3353</v>
      </c>
      <c r="D111" s="50"/>
      <c r="E111" s="35" t="s">
        <v>63</v>
      </c>
      <c r="F111" s="36">
        <v>0.09</v>
      </c>
      <c r="G111" s="37">
        <f t="shared" si="7"/>
        <v>130866403.02999997</v>
      </c>
      <c r="H111" s="37">
        <f t="shared" si="7"/>
        <v>130866403.03</v>
      </c>
      <c r="I111" s="38">
        <f t="shared" si="6"/>
        <v>0</v>
      </c>
      <c r="J111" s="22"/>
      <c r="K111" s="22"/>
      <c r="L111" s="22"/>
      <c r="M111" s="22"/>
      <c r="N111" s="22"/>
      <c r="O111" s="22"/>
      <c r="P111" s="31"/>
      <c r="Q111" s="22"/>
      <c r="R111" s="25"/>
      <c r="S111" s="25"/>
      <c r="T111" s="5">
        <v>281182.83</v>
      </c>
      <c r="V111" s="26">
        <v>9193750.7799999993</v>
      </c>
      <c r="W111" s="26">
        <v>0</v>
      </c>
      <c r="X111" s="5">
        <v>12747360.5</v>
      </c>
      <c r="Y111" s="5">
        <v>0</v>
      </c>
      <c r="Z111" s="5">
        <v>7619203.7699999996</v>
      </c>
      <c r="AB111" s="5">
        <v>6900400</v>
      </c>
      <c r="AC111" s="5">
        <v>29841497.879999999</v>
      </c>
      <c r="AD111" s="5">
        <v>101323748.27</v>
      </c>
      <c r="AE111" s="5">
        <v>101257282</v>
      </c>
      <c r="AF111" s="5"/>
      <c r="AG111" s="5"/>
      <c r="AJ111" s="3">
        <v>-7199243.1200000001</v>
      </c>
      <c r="AK111" s="3">
        <v>-3808486.27</v>
      </c>
      <c r="AQ111" s="3">
        <v>3576109.42</v>
      </c>
    </row>
    <row r="112" spans="2:60" x14ac:dyDescent="0.2">
      <c r="B112" s="32"/>
      <c r="C112" s="48">
        <v>3353</v>
      </c>
      <c r="D112" s="51"/>
      <c r="E112" s="35" t="s">
        <v>64</v>
      </c>
      <c r="F112" s="36">
        <v>0.06</v>
      </c>
      <c r="G112" s="37">
        <f t="shared" si="7"/>
        <v>13349390.159999989</v>
      </c>
      <c r="H112" s="37">
        <f t="shared" si="7"/>
        <v>13349390.16</v>
      </c>
      <c r="I112" s="38">
        <f t="shared" si="6"/>
        <v>0</v>
      </c>
      <c r="J112" s="22"/>
      <c r="K112" s="22"/>
      <c r="L112" s="22"/>
      <c r="M112" s="22"/>
      <c r="N112" s="22"/>
      <c r="O112" s="22"/>
      <c r="P112" s="31"/>
      <c r="Q112" s="22"/>
      <c r="R112" s="25"/>
      <c r="S112" s="25"/>
      <c r="T112" s="5">
        <v>1617787.02</v>
      </c>
      <c r="V112" s="26">
        <f>116153.78+68316.87</f>
        <v>184470.65</v>
      </c>
      <c r="W112" s="26">
        <v>68316.87</v>
      </c>
      <c r="X112" s="26">
        <f>388295.7+44486.8</f>
        <v>432782.5</v>
      </c>
      <c r="Y112" s="5">
        <v>44486.8</v>
      </c>
      <c r="Z112" s="5">
        <v>131265.23000000001</v>
      </c>
      <c r="AA112" s="5">
        <v>33839.49</v>
      </c>
      <c r="AB112" s="5">
        <v>1849696.49999999</v>
      </c>
      <c r="AC112" s="5">
        <v>71322.899999999994</v>
      </c>
      <c r="AD112" s="5">
        <v>9274897.6899999995</v>
      </c>
      <c r="AE112" s="5">
        <v>3998035.84</v>
      </c>
      <c r="AF112" s="5"/>
      <c r="AG112" s="5"/>
      <c r="AJ112" s="3">
        <v>-141509.43</v>
      </c>
      <c r="AQ112" s="3">
        <v>9133388.2599999998</v>
      </c>
    </row>
    <row r="113" spans="2:60" x14ac:dyDescent="0.2">
      <c r="B113" s="32" t="s">
        <v>65</v>
      </c>
      <c r="C113" s="33" t="s">
        <v>103</v>
      </c>
      <c r="D113" s="49" t="s">
        <v>104</v>
      </c>
      <c r="E113" s="35" t="s">
        <v>62</v>
      </c>
      <c r="F113" s="36">
        <v>0.13</v>
      </c>
      <c r="G113" s="37">
        <f t="shared" si="7"/>
        <v>20353982.289999999</v>
      </c>
      <c r="H113" s="37">
        <f t="shared" si="7"/>
        <v>0</v>
      </c>
      <c r="I113" s="38">
        <f t="shared" si="6"/>
        <v>20353982.289999999</v>
      </c>
      <c r="J113" s="22"/>
      <c r="K113" s="22"/>
      <c r="L113" s="22"/>
      <c r="M113" s="22"/>
      <c r="N113" s="22"/>
      <c r="O113" s="22"/>
      <c r="P113" s="31"/>
      <c r="Q113" s="22"/>
      <c r="R113" s="25"/>
      <c r="S113" s="25"/>
      <c r="W113" s="26">
        <v>0</v>
      </c>
      <c r="X113" s="5"/>
      <c r="AB113" s="5">
        <v>1169652.94</v>
      </c>
      <c r="AD113" s="5">
        <v>10866195.6</v>
      </c>
      <c r="AF113" s="5">
        <v>1337273.4099999999</v>
      </c>
      <c r="AG113" s="5"/>
      <c r="AI113" s="46">
        <v>13373121.949999999</v>
      </c>
      <c r="AP113" s="3">
        <v>997787.61</v>
      </c>
      <c r="AR113" s="3">
        <v>5983072.7300000004</v>
      </c>
      <c r="AS113" s="5">
        <v>-13373121.949999999</v>
      </c>
    </row>
    <row r="114" spans="2:60" x14ac:dyDescent="0.2">
      <c r="B114" s="32"/>
      <c r="C114" s="39" t="s">
        <v>103</v>
      </c>
      <c r="D114" s="50"/>
      <c r="E114" s="35" t="s">
        <v>63</v>
      </c>
      <c r="F114" s="36">
        <v>0.09</v>
      </c>
      <c r="G114" s="37">
        <f t="shared" si="7"/>
        <v>3749821.709999999</v>
      </c>
      <c r="H114" s="37">
        <f t="shared" si="7"/>
        <v>0</v>
      </c>
      <c r="I114" s="38">
        <f t="shared" si="6"/>
        <v>3749821.709999999</v>
      </c>
      <c r="J114" s="22"/>
      <c r="K114" s="22"/>
      <c r="L114" s="22"/>
      <c r="M114" s="22"/>
      <c r="N114" s="22"/>
      <c r="O114" s="22"/>
      <c r="P114" s="31"/>
      <c r="Q114" s="22"/>
      <c r="R114" s="25"/>
      <c r="S114" s="25"/>
      <c r="W114" s="26">
        <v>0</v>
      </c>
      <c r="X114" s="5">
        <v>1367893.25</v>
      </c>
      <c r="Z114" s="5">
        <v>1862627.29</v>
      </c>
      <c r="AB114" s="5">
        <v>3678388.11</v>
      </c>
      <c r="AD114" s="5">
        <v>3245448.71</v>
      </c>
      <c r="AE114" s="5">
        <v>0</v>
      </c>
      <c r="AF114" s="5">
        <v>1608135.67</v>
      </c>
      <c r="AG114" s="5"/>
      <c r="AH114" s="46">
        <v>29854.37</v>
      </c>
      <c r="AR114" s="3">
        <v>-5880013.9299999997</v>
      </c>
      <c r="BG114" s="3">
        <v>-2162511.7599999998</v>
      </c>
    </row>
    <row r="115" spans="2:60" x14ac:dyDescent="0.2">
      <c r="B115" s="32"/>
      <c r="C115" s="48" t="s">
        <v>103</v>
      </c>
      <c r="D115" s="51"/>
      <c r="E115" s="35" t="s">
        <v>64</v>
      </c>
      <c r="F115" s="36">
        <v>0.06</v>
      </c>
      <c r="G115" s="37">
        <f t="shared" si="7"/>
        <v>3901926.87</v>
      </c>
      <c r="H115" s="37">
        <f t="shared" si="7"/>
        <v>2282478.46</v>
      </c>
      <c r="I115" s="38">
        <f t="shared" si="6"/>
        <v>1619448.4100000001</v>
      </c>
      <c r="J115" s="22"/>
      <c r="K115" s="22"/>
      <c r="L115" s="22"/>
      <c r="M115" s="22"/>
      <c r="N115" s="22"/>
      <c r="O115" s="22"/>
      <c r="P115" s="31"/>
      <c r="Q115" s="22"/>
      <c r="R115" s="25"/>
      <c r="S115" s="25"/>
      <c r="W115" s="26">
        <v>0</v>
      </c>
      <c r="X115" s="26">
        <v>0</v>
      </c>
      <c r="Y115" s="5">
        <v>607743.34</v>
      </c>
      <c r="Z115" s="5">
        <v>64842.36</v>
      </c>
      <c r="AA115" s="5">
        <v>14099.79</v>
      </c>
      <c r="AB115" s="5">
        <f>574644.72+29717.88</f>
        <v>604362.6</v>
      </c>
      <c r="AC115" s="5">
        <v>29717.88</v>
      </c>
      <c r="AD115" s="5">
        <v>356299.03</v>
      </c>
      <c r="AF115" s="5">
        <v>649231.13</v>
      </c>
      <c r="AG115" s="5"/>
      <c r="AH115" s="46">
        <v>91863.21</v>
      </c>
      <c r="AI115" s="5">
        <v>1630917.45</v>
      </c>
      <c r="AL115" s="3">
        <v>342177.28000000003</v>
      </c>
      <c r="AN115" s="3">
        <v>649937.68999999994</v>
      </c>
      <c r="AP115" s="3">
        <v>12210</v>
      </c>
      <c r="AR115" s="3">
        <v>52575.73</v>
      </c>
      <c r="AU115" s="5">
        <v>81226.41</v>
      </c>
      <c r="AW115" s="5">
        <v>21311.88</v>
      </c>
      <c r="BC115" s="3">
        <v>99554.75</v>
      </c>
      <c r="BG115" s="3">
        <v>876334.8</v>
      </c>
    </row>
    <row r="116" spans="2:60" x14ac:dyDescent="0.2">
      <c r="B116" s="32" t="s">
        <v>65</v>
      </c>
      <c r="C116" s="33">
        <v>3315</v>
      </c>
      <c r="D116" s="49" t="s">
        <v>105</v>
      </c>
      <c r="E116" s="35" t="s">
        <v>62</v>
      </c>
      <c r="F116" s="36">
        <v>0.13</v>
      </c>
      <c r="G116" s="37">
        <f t="shared" si="7"/>
        <v>0</v>
      </c>
      <c r="H116" s="37">
        <f t="shared" si="7"/>
        <v>21772916.079999998</v>
      </c>
      <c r="I116" s="38">
        <f t="shared" si="6"/>
        <v>-21772916.079999998</v>
      </c>
      <c r="J116" s="22"/>
      <c r="K116" s="22"/>
      <c r="L116" s="22"/>
      <c r="M116" s="22"/>
      <c r="N116" s="22"/>
      <c r="O116" s="22"/>
      <c r="P116" s="31"/>
      <c r="Q116" s="22"/>
      <c r="R116" s="25"/>
      <c r="S116" s="25"/>
      <c r="V116" s="26">
        <v>0</v>
      </c>
      <c r="W116" s="26">
        <v>0</v>
      </c>
      <c r="X116" s="5">
        <v>0</v>
      </c>
      <c r="Y116" s="5">
        <v>21772916.079999998</v>
      </c>
      <c r="AF116" s="5"/>
      <c r="AG116" s="5"/>
    </row>
    <row r="117" spans="2:60" x14ac:dyDescent="0.2">
      <c r="B117" s="32"/>
      <c r="C117" s="39">
        <v>3315</v>
      </c>
      <c r="D117" s="50"/>
      <c r="E117" s="35" t="s">
        <v>63</v>
      </c>
      <c r="F117" s="36">
        <v>0.09</v>
      </c>
      <c r="G117" s="37">
        <f t="shared" si="7"/>
        <v>418382.43</v>
      </c>
      <c r="H117" s="37">
        <f t="shared" si="7"/>
        <v>5947277.2399999993</v>
      </c>
      <c r="I117" s="38">
        <f t="shared" si="6"/>
        <v>-5528894.8099999996</v>
      </c>
      <c r="J117" s="22"/>
      <c r="K117" s="22"/>
      <c r="L117" s="22"/>
      <c r="M117" s="22"/>
      <c r="N117" s="22"/>
      <c r="O117" s="22"/>
      <c r="P117" s="31"/>
      <c r="Q117" s="22"/>
      <c r="R117" s="25"/>
      <c r="S117" s="25"/>
      <c r="V117" s="26">
        <v>0</v>
      </c>
      <c r="W117" s="26">
        <v>0</v>
      </c>
      <c r="X117" s="5">
        <v>0</v>
      </c>
      <c r="Y117" s="5">
        <v>5528894.8099999996</v>
      </c>
      <c r="AD117" s="5">
        <v>418382.43</v>
      </c>
      <c r="AE117" s="5">
        <v>418382.43</v>
      </c>
      <c r="AF117" s="5"/>
      <c r="AG117" s="5"/>
    </row>
    <row r="118" spans="2:60" x14ac:dyDescent="0.2">
      <c r="B118" s="32"/>
      <c r="C118" s="48">
        <v>3315</v>
      </c>
      <c r="D118" s="51"/>
      <c r="E118" s="35" t="s">
        <v>64</v>
      </c>
      <c r="F118" s="36">
        <v>0.06</v>
      </c>
      <c r="G118" s="37">
        <f t="shared" si="7"/>
        <v>191056.34</v>
      </c>
      <c r="H118" s="37">
        <f t="shared" si="7"/>
        <v>318441.53999999998</v>
      </c>
      <c r="I118" s="38">
        <f t="shared" si="6"/>
        <v>-127385.19999999998</v>
      </c>
      <c r="J118" s="22"/>
      <c r="K118" s="22"/>
      <c r="L118" s="22"/>
      <c r="M118" s="22"/>
      <c r="N118" s="22"/>
      <c r="O118" s="22"/>
      <c r="P118" s="31"/>
      <c r="Q118" s="22"/>
      <c r="R118" s="25"/>
      <c r="S118" s="25"/>
      <c r="U118" s="5">
        <v>318441.53999999998</v>
      </c>
      <c r="V118" s="26">
        <v>0</v>
      </c>
      <c r="W118" s="26">
        <v>0</v>
      </c>
      <c r="AF118" s="5"/>
      <c r="AG118" s="5"/>
      <c r="AY118" s="3">
        <v>107838.51</v>
      </c>
      <c r="BC118" s="3">
        <v>83217.83</v>
      </c>
    </row>
    <row r="119" spans="2:60" x14ac:dyDescent="0.2">
      <c r="B119" s="32" t="s">
        <v>106</v>
      </c>
      <c r="C119" s="33"/>
      <c r="D119" s="49" t="s">
        <v>106</v>
      </c>
      <c r="E119" s="35" t="s">
        <v>62</v>
      </c>
      <c r="F119" s="36">
        <v>0.13</v>
      </c>
      <c r="G119" s="37">
        <f t="shared" si="7"/>
        <v>10452126.809999997</v>
      </c>
      <c r="H119" s="37">
        <f t="shared" si="7"/>
        <v>9190405.0999999996</v>
      </c>
      <c r="I119" s="38">
        <f t="shared" si="6"/>
        <v>1261721.7099999972</v>
      </c>
      <c r="J119" s="22"/>
      <c r="K119" s="22"/>
      <c r="L119" s="22"/>
      <c r="M119" s="22"/>
      <c r="N119" s="22"/>
      <c r="O119" s="22"/>
      <c r="P119" s="31"/>
      <c r="Q119" s="22"/>
      <c r="R119" s="25"/>
      <c r="S119" s="25"/>
      <c r="V119" s="26">
        <f>10583.3399999998+395044.24</f>
        <v>405627.57999999978</v>
      </c>
      <c r="W119" s="26">
        <v>3722611.21</v>
      </c>
      <c r="X119" s="5"/>
      <c r="AF119" s="5"/>
      <c r="AG119" s="5"/>
      <c r="AH119" s="5">
        <v>480713.13</v>
      </c>
      <c r="AJ119" s="3">
        <v>457594.21</v>
      </c>
      <c r="AK119" s="3">
        <v>31524</v>
      </c>
      <c r="AL119" s="3">
        <v>2980432.9</v>
      </c>
      <c r="AM119" s="3">
        <v>1793535.39</v>
      </c>
      <c r="AN119" s="3">
        <v>880996.23</v>
      </c>
      <c r="AP119" s="3">
        <v>797379.75</v>
      </c>
      <c r="AR119" s="3">
        <v>665263.27</v>
      </c>
      <c r="AS119" s="5">
        <v>2643323</v>
      </c>
      <c r="AU119" s="5">
        <v>660387.16</v>
      </c>
      <c r="AV119" s="5">
        <v>0</v>
      </c>
      <c r="AW119" s="5">
        <v>752865.04</v>
      </c>
      <c r="AY119" s="3">
        <v>660387.16</v>
      </c>
      <c r="AZ119" s="3">
        <v>999411.5</v>
      </c>
      <c r="BC119" s="3">
        <v>1049723.45</v>
      </c>
      <c r="BG119" s="3">
        <v>660756.93000000005</v>
      </c>
    </row>
    <row r="120" spans="2:60" x14ac:dyDescent="0.2">
      <c r="B120" s="32"/>
      <c r="C120" s="39"/>
      <c r="D120" s="50"/>
      <c r="E120" s="35" t="s">
        <v>63</v>
      </c>
      <c r="F120" s="36">
        <v>0.09</v>
      </c>
      <c r="G120" s="37">
        <f t="shared" si="7"/>
        <v>3189024.5</v>
      </c>
      <c r="H120" s="37">
        <f t="shared" si="7"/>
        <v>68076</v>
      </c>
      <c r="I120" s="38">
        <f t="shared" si="6"/>
        <v>3120948.5</v>
      </c>
      <c r="J120" s="22"/>
      <c r="K120" s="22"/>
      <c r="L120" s="22"/>
      <c r="M120" s="22"/>
      <c r="N120" s="22"/>
      <c r="O120" s="22"/>
      <c r="P120" s="31"/>
      <c r="Q120" s="22"/>
      <c r="R120" s="25"/>
      <c r="S120" s="25"/>
      <c r="X120" s="5"/>
      <c r="AF120" s="5">
        <v>0</v>
      </c>
      <c r="AG120" s="5">
        <v>0</v>
      </c>
      <c r="AJ120" s="3">
        <v>41119.99</v>
      </c>
      <c r="AK120" s="3">
        <v>68076</v>
      </c>
      <c r="AN120" s="3">
        <v>68076</v>
      </c>
      <c r="AP120" s="3">
        <v>1366862.34</v>
      </c>
      <c r="BC120" s="3">
        <v>1590724.09</v>
      </c>
      <c r="BG120" s="3">
        <v>122242.08</v>
      </c>
    </row>
    <row r="121" spans="2:60" x14ac:dyDescent="0.2">
      <c r="B121" s="32"/>
      <c r="C121" s="48"/>
      <c r="D121" s="51"/>
      <c r="E121" s="35" t="s">
        <v>64</v>
      </c>
      <c r="F121" s="36">
        <v>0.06</v>
      </c>
      <c r="G121" s="37">
        <f t="shared" si="7"/>
        <v>16215421.540000001</v>
      </c>
      <c r="H121" s="37">
        <f t="shared" si="7"/>
        <v>13727253.729999999</v>
      </c>
      <c r="I121" s="38">
        <f t="shared" si="6"/>
        <v>2488167.8100000024</v>
      </c>
      <c r="J121" s="22"/>
      <c r="K121" s="22"/>
      <c r="L121" s="22">
        <v>256027.28</v>
      </c>
      <c r="M121" s="22"/>
      <c r="N121" s="22">
        <v>797627.28</v>
      </c>
      <c r="O121" s="22">
        <v>227232.63</v>
      </c>
      <c r="P121" s="31">
        <v>256027.28</v>
      </c>
      <c r="Q121" s="22"/>
      <c r="R121" s="25"/>
      <c r="S121" s="25"/>
      <c r="T121" s="5">
        <v>438378.31</v>
      </c>
      <c r="AF121" s="5">
        <v>0</v>
      </c>
      <c r="AG121" s="5">
        <v>0</v>
      </c>
      <c r="AH121" s="5">
        <v>1898503.28</v>
      </c>
      <c r="AI121" s="5">
        <v>1871451.74</v>
      </c>
      <c r="AJ121" s="3">
        <v>1131680.5900000001</v>
      </c>
      <c r="AK121" s="3">
        <v>635607.65</v>
      </c>
      <c r="AL121" s="3">
        <v>1621800.03</v>
      </c>
      <c r="AM121" s="3">
        <v>370645.49</v>
      </c>
      <c r="AN121" s="3">
        <v>1541443.02</v>
      </c>
      <c r="AO121" s="3">
        <v>1092264.19</v>
      </c>
      <c r="AR121" s="3">
        <v>1361483.06</v>
      </c>
      <c r="AS121" s="5">
        <v>3877729.8</v>
      </c>
      <c r="AU121" s="5">
        <v>1366862.34</v>
      </c>
      <c r="AV121" s="5">
        <v>1263802.25</v>
      </c>
      <c r="AW121" s="5">
        <v>1268277.43</v>
      </c>
      <c r="AX121" s="5">
        <v>289561.32</v>
      </c>
      <c r="AY121" s="3">
        <v>1427694.98</v>
      </c>
      <c r="AZ121" s="3">
        <v>987215.2</v>
      </c>
      <c r="BC121" s="3">
        <f>1539154.77+57228.13</f>
        <v>1596382.9</v>
      </c>
      <c r="BD121" s="3">
        <f>2647563.72+57228.13</f>
        <v>2704791.85</v>
      </c>
      <c r="BG121" s="3">
        <v>1253233.76</v>
      </c>
      <c r="BH121" s="3">
        <v>406951.61</v>
      </c>
    </row>
    <row r="122" spans="2:60" x14ac:dyDescent="0.2">
      <c r="B122" s="32" t="s">
        <v>107</v>
      </c>
      <c r="C122" s="39"/>
      <c r="D122" s="49" t="s">
        <v>108</v>
      </c>
      <c r="E122" s="35" t="s">
        <v>62</v>
      </c>
      <c r="F122" s="36">
        <v>0.13</v>
      </c>
      <c r="G122" s="37">
        <f t="shared" si="7"/>
        <v>155752365.66</v>
      </c>
      <c r="H122" s="37">
        <f t="shared" si="7"/>
        <v>142762512.33999997</v>
      </c>
      <c r="I122" s="38">
        <f t="shared" si="6"/>
        <v>12989853.320000023</v>
      </c>
      <c r="J122" s="22"/>
      <c r="K122" s="22"/>
      <c r="L122" s="22">
        <v>22141073.82</v>
      </c>
      <c r="M122" s="22">
        <v>16100000</v>
      </c>
      <c r="N122" s="22">
        <v>7230088.5</v>
      </c>
      <c r="O122" s="22"/>
      <c r="P122" s="31"/>
      <c r="Q122" s="22"/>
      <c r="R122" s="25"/>
      <c r="S122" s="25"/>
      <c r="T122" s="5">
        <v>59382288.780000001</v>
      </c>
      <c r="U122" s="5">
        <v>18639601.609999999</v>
      </c>
      <c r="V122" s="26">
        <v>6283185.8399999999</v>
      </c>
      <c r="X122" s="5">
        <v>48885870.399999999</v>
      </c>
      <c r="Y122" s="5">
        <v>101708554.22</v>
      </c>
      <c r="Z122" s="5">
        <v>11083131.880000001</v>
      </c>
      <c r="AA122" s="5">
        <v>-39626548.460000001</v>
      </c>
      <c r="AD122" s="5">
        <v>746726.44</v>
      </c>
      <c r="AF122" s="5"/>
      <c r="AG122" s="5"/>
      <c r="AK122" s="3">
        <v>45940904.969999999</v>
      </c>
    </row>
    <row r="123" spans="2:60" x14ac:dyDescent="0.2">
      <c r="B123" s="32"/>
      <c r="C123" s="39"/>
      <c r="D123" s="50"/>
      <c r="E123" s="35" t="s">
        <v>63</v>
      </c>
      <c r="F123" s="36">
        <v>0.09</v>
      </c>
      <c r="G123" s="37">
        <f t="shared" si="7"/>
        <v>104513642.55</v>
      </c>
      <c r="H123" s="37">
        <f t="shared" si="7"/>
        <v>189134862.38</v>
      </c>
      <c r="I123" s="38">
        <f t="shared" si="6"/>
        <v>-84621219.829999998</v>
      </c>
      <c r="J123" s="22"/>
      <c r="K123" s="22"/>
      <c r="L123" s="22">
        <v>26213959.489999998</v>
      </c>
      <c r="M123" s="22">
        <v>58630275.229999997</v>
      </c>
      <c r="N123" s="22">
        <v>90809.78</v>
      </c>
      <c r="O123" s="22"/>
      <c r="P123" s="31"/>
      <c r="Q123" s="22"/>
      <c r="R123" s="25"/>
      <c r="S123" s="25"/>
      <c r="V123" s="26">
        <v>42979515.5</v>
      </c>
      <c r="W123" s="26">
        <v>7018348.6200000001</v>
      </c>
      <c r="X123" s="47">
        <v>0</v>
      </c>
      <c r="Y123" s="5">
        <v>0</v>
      </c>
      <c r="Z123" s="5">
        <v>4642201.84</v>
      </c>
      <c r="AA123" s="5">
        <v>123486238.53</v>
      </c>
      <c r="AB123" s="5">
        <v>30587155.940000001</v>
      </c>
      <c r="AF123" s="5"/>
      <c r="AG123" s="5"/>
    </row>
    <row r="124" spans="2:60" x14ac:dyDescent="0.2">
      <c r="B124" s="32"/>
      <c r="C124" s="39"/>
      <c r="D124" s="51"/>
      <c r="E124" s="35" t="s">
        <v>64</v>
      </c>
      <c r="F124" s="36">
        <v>0.06</v>
      </c>
      <c r="G124" s="37">
        <f t="shared" si="7"/>
        <v>6444066.9500000011</v>
      </c>
      <c r="H124" s="37">
        <f t="shared" si="7"/>
        <v>0</v>
      </c>
      <c r="I124" s="38">
        <f t="shared" si="6"/>
        <v>6444066.9500000011</v>
      </c>
      <c r="J124" s="22"/>
      <c r="K124" s="22"/>
      <c r="L124" s="22"/>
      <c r="M124" s="22"/>
      <c r="N124" s="22"/>
      <c r="O124" s="22"/>
      <c r="P124" s="31">
        <v>7017.74</v>
      </c>
      <c r="Q124" s="22"/>
      <c r="R124" s="25">
        <v>518137.49</v>
      </c>
      <c r="S124" s="25"/>
      <c r="T124" s="5">
        <v>778821.98</v>
      </c>
      <c r="V124" s="26">
        <v>1723949.46</v>
      </c>
      <c r="X124" s="26">
        <v>666182.54</v>
      </c>
      <c r="Y124" s="5">
        <v>0</v>
      </c>
      <c r="Z124" s="5">
        <v>231938.7</v>
      </c>
      <c r="AA124" s="47">
        <v>0</v>
      </c>
      <c r="AB124" s="5">
        <v>2490338.38</v>
      </c>
      <c r="AD124" s="5">
        <v>18601.939999999999</v>
      </c>
      <c r="AF124" s="5">
        <v>4539.3599999999997</v>
      </c>
      <c r="AG124" s="5"/>
      <c r="AH124" s="46">
        <v>4539.3599999999997</v>
      </c>
    </row>
    <row r="125" spans="2:60" x14ac:dyDescent="0.2">
      <c r="B125" s="55" t="s">
        <v>109</v>
      </c>
      <c r="C125" s="39"/>
      <c r="D125" s="49" t="s">
        <v>108</v>
      </c>
      <c r="E125" s="35" t="s">
        <v>62</v>
      </c>
      <c r="F125" s="36">
        <v>0.13</v>
      </c>
      <c r="G125" s="37">
        <f t="shared" si="7"/>
        <v>-1513274.34</v>
      </c>
      <c r="H125" s="37">
        <f t="shared" si="7"/>
        <v>0</v>
      </c>
      <c r="I125" s="38">
        <f t="shared" si="6"/>
        <v>-1513274.34</v>
      </c>
      <c r="J125" s="22"/>
      <c r="K125" s="22"/>
      <c r="L125" s="22"/>
      <c r="M125" s="22"/>
      <c r="N125" s="22"/>
      <c r="O125" s="22"/>
      <c r="P125" s="31"/>
      <c r="Q125" s="22"/>
      <c r="R125" s="25"/>
      <c r="S125" s="25"/>
      <c r="X125" s="43"/>
      <c r="AA125" s="56"/>
      <c r="AF125" s="5"/>
      <c r="AG125" s="5"/>
      <c r="AH125" s="57"/>
      <c r="AU125" s="5">
        <v>-1513274.34</v>
      </c>
      <c r="BC125" s="3">
        <v>0</v>
      </c>
    </row>
    <row r="126" spans="2:60" x14ac:dyDescent="0.2">
      <c r="B126" s="55"/>
      <c r="C126" s="39"/>
      <c r="D126" s="50"/>
      <c r="E126" s="35" t="s">
        <v>63</v>
      </c>
      <c r="F126" s="36">
        <v>0.09</v>
      </c>
      <c r="G126" s="37">
        <f t="shared" si="7"/>
        <v>72899335.969999999</v>
      </c>
      <c r="H126" s="37">
        <f t="shared" si="7"/>
        <v>24770642.199999999</v>
      </c>
      <c r="I126" s="38">
        <f t="shared" si="6"/>
        <v>48128693.769999996</v>
      </c>
      <c r="J126" s="22"/>
      <c r="K126" s="22"/>
      <c r="L126" s="22"/>
      <c r="M126" s="22"/>
      <c r="N126" s="22"/>
      <c r="O126" s="22"/>
      <c r="P126" s="31"/>
      <c r="Q126" s="22"/>
      <c r="R126" s="25"/>
      <c r="S126" s="25"/>
      <c r="X126" s="43"/>
      <c r="AA126" s="56"/>
      <c r="AF126" s="5"/>
      <c r="AG126" s="5"/>
      <c r="AH126" s="57"/>
      <c r="AJ126" s="3">
        <v>18348623.850000001</v>
      </c>
      <c r="AN126" s="3">
        <v>14020628.18</v>
      </c>
      <c r="AP126" s="3">
        <v>10281794.01</v>
      </c>
      <c r="AU126" s="5">
        <v>21100917.440000001</v>
      </c>
      <c r="AX126" s="5">
        <v>15596330.279999999</v>
      </c>
      <c r="BC126" s="3">
        <v>9147372.4900000002</v>
      </c>
      <c r="BD126" s="3">
        <v>9174311.9199999999</v>
      </c>
    </row>
    <row r="127" spans="2:60" x14ac:dyDescent="0.2">
      <c r="B127" s="55"/>
      <c r="C127" s="33"/>
      <c r="D127" s="51"/>
      <c r="E127" s="35" t="s">
        <v>64</v>
      </c>
      <c r="F127" s="36">
        <v>0.06</v>
      </c>
      <c r="G127" s="37">
        <f t="shared" si="7"/>
        <v>400794.47</v>
      </c>
      <c r="H127" s="37">
        <f t="shared" si="7"/>
        <v>0</v>
      </c>
      <c r="I127" s="38">
        <f t="shared" si="6"/>
        <v>400794.47</v>
      </c>
      <c r="J127" s="22"/>
      <c r="K127" s="22"/>
      <c r="L127" s="22"/>
      <c r="M127" s="22"/>
      <c r="N127" s="22"/>
      <c r="O127" s="22"/>
      <c r="P127" s="31"/>
      <c r="Q127" s="22"/>
      <c r="R127" s="25"/>
      <c r="S127" s="25"/>
      <c r="X127" s="43"/>
      <c r="AA127" s="56"/>
      <c r="AF127" s="5"/>
      <c r="AG127" s="5"/>
      <c r="AH127" s="57"/>
      <c r="AJ127" s="3">
        <v>345547.05</v>
      </c>
      <c r="AU127" s="5">
        <v>55247.42</v>
      </c>
    </row>
    <row r="128" spans="2:60" x14ac:dyDescent="0.2">
      <c r="B128" s="32" t="s">
        <v>110</v>
      </c>
      <c r="C128" s="33"/>
      <c r="D128" s="49" t="s">
        <v>111</v>
      </c>
      <c r="E128" s="35" t="s">
        <v>62</v>
      </c>
      <c r="F128" s="36">
        <v>0.13</v>
      </c>
      <c r="G128" s="37">
        <f t="shared" si="7"/>
        <v>176747338.17999998</v>
      </c>
      <c r="H128" s="37">
        <f t="shared" si="7"/>
        <v>0</v>
      </c>
      <c r="I128" s="38">
        <f t="shared" si="6"/>
        <v>176747338.17999998</v>
      </c>
      <c r="J128" s="22"/>
      <c r="K128" s="22"/>
      <c r="L128" s="22"/>
      <c r="M128" s="22">
        <v>28318584.079999998</v>
      </c>
      <c r="N128" s="22"/>
      <c r="O128" s="22">
        <v>-28318584.079999998</v>
      </c>
      <c r="P128" s="31"/>
      <c r="Q128" s="22"/>
      <c r="R128" s="25">
        <v>39108696.32</v>
      </c>
      <c r="S128" s="25">
        <v>0</v>
      </c>
      <c r="X128" s="5">
        <v>0</v>
      </c>
      <c r="Y128" s="5">
        <v>0</v>
      </c>
      <c r="AB128" s="5">
        <v>2976804.12</v>
      </c>
      <c r="AD128" s="5">
        <v>39570177.719999999</v>
      </c>
      <c r="AF128" s="5">
        <v>54390444.060000002</v>
      </c>
      <c r="AG128" s="5"/>
      <c r="AJ128" s="3">
        <v>2851012.95</v>
      </c>
      <c r="AL128" s="3">
        <v>696886.27</v>
      </c>
      <c r="AP128" s="3">
        <v>66672.009999999995</v>
      </c>
      <c r="AR128" s="3">
        <v>0.01</v>
      </c>
      <c r="AU128" s="5">
        <v>36954094.25</v>
      </c>
      <c r="BG128" s="3">
        <v>132550.47</v>
      </c>
    </row>
    <row r="129" spans="2:60" x14ac:dyDescent="0.2">
      <c r="B129" s="32"/>
      <c r="C129" s="39"/>
      <c r="D129" s="50"/>
      <c r="E129" s="35" t="s">
        <v>63</v>
      </c>
      <c r="F129" s="36">
        <v>0.09</v>
      </c>
      <c r="G129" s="37">
        <f t="shared" si="7"/>
        <v>132317772.91000001</v>
      </c>
      <c r="H129" s="37">
        <f t="shared" si="7"/>
        <v>14192660.550000001</v>
      </c>
      <c r="I129" s="38">
        <f t="shared" ref="I129:I192" si="8">G129-H129</f>
        <v>118125112.36000001</v>
      </c>
      <c r="J129" s="22"/>
      <c r="K129" s="22"/>
      <c r="L129" s="22"/>
      <c r="M129" s="22"/>
      <c r="N129" s="22">
        <v>7063866.4699999997</v>
      </c>
      <c r="O129" s="22"/>
      <c r="P129" s="31"/>
      <c r="Q129" s="22"/>
      <c r="R129" s="25"/>
      <c r="S129" s="25">
        <v>0</v>
      </c>
      <c r="X129" s="5">
        <v>6100499.0899999999</v>
      </c>
      <c r="Y129" s="5">
        <v>0</v>
      </c>
      <c r="Z129" s="5">
        <v>15885002.1</v>
      </c>
      <c r="AB129" s="5">
        <v>11631800.57</v>
      </c>
      <c r="AC129" s="5">
        <v>7339449.54</v>
      </c>
      <c r="AD129" s="5">
        <v>36082593.950000003</v>
      </c>
      <c r="AE129" s="5">
        <v>4192660.55</v>
      </c>
      <c r="AF129" s="5">
        <v>9325949.4000000004</v>
      </c>
      <c r="AG129" s="5"/>
      <c r="AH129" s="46">
        <v>4504692.22</v>
      </c>
      <c r="AJ129" s="3">
        <v>23490397.52</v>
      </c>
      <c r="AL129" s="3">
        <v>7862042.9100000001</v>
      </c>
      <c r="AN129" s="3">
        <v>4075.59</v>
      </c>
      <c r="AO129" s="3">
        <v>2660550.46</v>
      </c>
      <c r="AP129" s="3">
        <v>99683.09</v>
      </c>
      <c r="AR129" s="3">
        <v>10220041.85</v>
      </c>
      <c r="AW129" s="5">
        <v>47128.15</v>
      </c>
    </row>
    <row r="130" spans="2:60" x14ac:dyDescent="0.2">
      <c r="B130" s="32"/>
      <c r="C130" s="48"/>
      <c r="D130" s="51"/>
      <c r="E130" s="35" t="s">
        <v>64</v>
      </c>
      <c r="F130" s="36">
        <v>0.06</v>
      </c>
      <c r="G130" s="37">
        <f t="shared" si="7"/>
        <v>20804766.390000001</v>
      </c>
      <c r="H130" s="37">
        <f t="shared" si="7"/>
        <v>25877358.509999998</v>
      </c>
      <c r="I130" s="38">
        <f t="shared" si="8"/>
        <v>-5072592.1199999973</v>
      </c>
      <c r="J130" s="22"/>
      <c r="K130" s="22"/>
      <c r="L130" s="22">
        <v>41777.82</v>
      </c>
      <c r="M130" s="22">
        <v>10283018.9</v>
      </c>
      <c r="N130" s="22">
        <v>47337.04</v>
      </c>
      <c r="O130" s="22"/>
      <c r="P130" s="31">
        <v>583584.29</v>
      </c>
      <c r="Q130" s="22"/>
      <c r="R130" s="25">
        <v>529883.84</v>
      </c>
      <c r="S130" s="25">
        <v>0</v>
      </c>
      <c r="V130" s="26">
        <v>321372.71999999997</v>
      </c>
      <c r="X130" s="26">
        <v>934950.44</v>
      </c>
      <c r="Y130" s="5">
        <v>0</v>
      </c>
      <c r="Z130" s="5">
        <v>1871562.73</v>
      </c>
      <c r="AB130" s="5">
        <v>1055250.8600000001</v>
      </c>
      <c r="AD130" s="5">
        <v>7580367.8899999997</v>
      </c>
      <c r="AE130" s="5">
        <v>15594339.609999999</v>
      </c>
      <c r="AF130" s="5">
        <v>845149.27</v>
      </c>
      <c r="AG130" s="5"/>
      <c r="AH130" s="46">
        <v>916065.1</v>
      </c>
      <c r="AJ130" s="3">
        <v>1422276.13</v>
      </c>
      <c r="AL130" s="3">
        <v>1216705.5</v>
      </c>
      <c r="AN130" s="3">
        <v>314995.01</v>
      </c>
      <c r="AP130" s="3">
        <v>460522.82</v>
      </c>
      <c r="AR130" s="3">
        <v>791082.23</v>
      </c>
      <c r="AU130" s="5">
        <v>888377.3</v>
      </c>
      <c r="AW130" s="5">
        <v>178778.41</v>
      </c>
      <c r="AY130" s="3">
        <v>151921.10999999999</v>
      </c>
      <c r="BC130" s="3">
        <v>307671.06</v>
      </c>
      <c r="BG130" s="3">
        <v>345134.82</v>
      </c>
    </row>
    <row r="131" spans="2:60" x14ac:dyDescent="0.2">
      <c r="B131" s="32" t="s">
        <v>110</v>
      </c>
      <c r="C131" s="33"/>
      <c r="D131" s="49" t="s">
        <v>112</v>
      </c>
      <c r="E131" s="35" t="s">
        <v>62</v>
      </c>
      <c r="F131" s="36">
        <v>0.13</v>
      </c>
      <c r="G131" s="37">
        <f t="shared" si="7"/>
        <v>0</v>
      </c>
      <c r="H131" s="37">
        <f t="shared" si="7"/>
        <v>108274336.30000001</v>
      </c>
      <c r="I131" s="38">
        <f t="shared" si="8"/>
        <v>-108274336.30000001</v>
      </c>
      <c r="J131" s="22"/>
      <c r="K131" s="22"/>
      <c r="L131" s="22"/>
      <c r="M131" s="22"/>
      <c r="N131" s="22"/>
      <c r="O131" s="22"/>
      <c r="P131" s="31"/>
      <c r="Q131" s="22"/>
      <c r="R131" s="25"/>
      <c r="S131" s="25"/>
      <c r="X131" s="5"/>
      <c r="Y131" s="5">
        <v>0</v>
      </c>
      <c r="AC131" s="5">
        <v>10274336.279999999</v>
      </c>
      <c r="AF131" s="5"/>
      <c r="AG131" s="5">
        <v>38539823.030000001</v>
      </c>
      <c r="AK131" s="3">
        <v>59460176.990000002</v>
      </c>
    </row>
    <row r="132" spans="2:60" x14ac:dyDescent="0.2">
      <c r="B132" s="32"/>
      <c r="C132" s="39"/>
      <c r="D132" s="50"/>
      <c r="E132" s="35" t="s">
        <v>63</v>
      </c>
      <c r="F132" s="36">
        <v>0.09</v>
      </c>
      <c r="G132" s="37">
        <f t="shared" si="7"/>
        <v>0</v>
      </c>
      <c r="H132" s="37">
        <f t="shared" si="7"/>
        <v>92342110.090000004</v>
      </c>
      <c r="I132" s="38">
        <f t="shared" si="8"/>
        <v>-92342110.090000004</v>
      </c>
      <c r="J132" s="22"/>
      <c r="K132" s="22"/>
      <c r="L132" s="22"/>
      <c r="M132" s="22"/>
      <c r="N132" s="22"/>
      <c r="O132" s="22"/>
      <c r="P132" s="31"/>
      <c r="Q132" s="22"/>
      <c r="R132" s="25"/>
      <c r="S132" s="25"/>
      <c r="X132" s="5"/>
      <c r="Y132" s="5">
        <v>0</v>
      </c>
      <c r="AC132" s="5">
        <v>40697384.950000003</v>
      </c>
      <c r="AF132" s="5"/>
      <c r="AG132" s="5">
        <v>5979049.6100000003</v>
      </c>
      <c r="AK132" s="3">
        <v>18433143.420000002</v>
      </c>
      <c r="AV132" s="5">
        <v>91743.12</v>
      </c>
      <c r="BD132" s="3">
        <v>27140788.989999998</v>
      </c>
    </row>
    <row r="133" spans="2:60" x14ac:dyDescent="0.2">
      <c r="B133" s="32"/>
      <c r="C133" s="48"/>
      <c r="D133" s="51"/>
      <c r="E133" s="35" t="s">
        <v>64</v>
      </c>
      <c r="F133" s="36">
        <v>0.06</v>
      </c>
      <c r="G133" s="37">
        <f t="shared" si="7"/>
        <v>0</v>
      </c>
      <c r="H133" s="37">
        <f t="shared" si="7"/>
        <v>0</v>
      </c>
      <c r="I133" s="38">
        <f t="shared" si="8"/>
        <v>0</v>
      </c>
      <c r="J133" s="22"/>
      <c r="K133" s="22"/>
      <c r="L133" s="22"/>
      <c r="M133" s="22"/>
      <c r="N133" s="22"/>
      <c r="O133" s="22"/>
      <c r="P133" s="31"/>
      <c r="Q133" s="22"/>
      <c r="R133" s="25"/>
      <c r="S133" s="25"/>
      <c r="Y133" s="5">
        <v>0</v>
      </c>
      <c r="AF133" s="5"/>
      <c r="AG133" s="5"/>
      <c r="AK133" s="3">
        <v>0</v>
      </c>
    </row>
    <row r="134" spans="2:60" x14ac:dyDescent="0.2">
      <c r="B134" s="32" t="s">
        <v>65</v>
      </c>
      <c r="C134" s="33" t="s">
        <v>113</v>
      </c>
      <c r="D134" s="49" t="s">
        <v>114</v>
      </c>
      <c r="E134" s="35" t="s">
        <v>62</v>
      </c>
      <c r="F134" s="36">
        <v>0.13</v>
      </c>
      <c r="G134" s="37">
        <f t="shared" si="7"/>
        <v>0</v>
      </c>
      <c r="H134" s="37">
        <f t="shared" si="7"/>
        <v>0</v>
      </c>
      <c r="I134" s="38">
        <f t="shared" si="8"/>
        <v>0</v>
      </c>
      <c r="J134" s="22"/>
      <c r="K134" s="22"/>
      <c r="L134" s="22"/>
      <c r="M134" s="22"/>
      <c r="N134" s="22"/>
      <c r="O134" s="22"/>
      <c r="P134" s="31"/>
      <c r="Q134" s="22"/>
      <c r="R134" s="25"/>
      <c r="S134" s="25"/>
      <c r="W134" s="26">
        <v>0</v>
      </c>
      <c r="X134" s="5">
        <v>0</v>
      </c>
      <c r="Y134" s="5">
        <v>0</v>
      </c>
      <c r="AF134" s="5"/>
      <c r="AG134" s="5"/>
    </row>
    <row r="135" spans="2:60" x14ac:dyDescent="0.2">
      <c r="B135" s="32"/>
      <c r="C135" s="39" t="s">
        <v>113</v>
      </c>
      <c r="D135" s="50"/>
      <c r="E135" s="35" t="s">
        <v>63</v>
      </c>
      <c r="F135" s="36">
        <v>0.09</v>
      </c>
      <c r="G135" s="37">
        <f t="shared" si="7"/>
        <v>0</v>
      </c>
      <c r="H135" s="37">
        <f t="shared" si="7"/>
        <v>0</v>
      </c>
      <c r="I135" s="38">
        <f t="shared" si="8"/>
        <v>0</v>
      </c>
      <c r="J135" s="22"/>
      <c r="K135" s="22"/>
      <c r="L135" s="22"/>
      <c r="M135" s="22"/>
      <c r="N135" s="22"/>
      <c r="O135" s="22"/>
      <c r="P135" s="31"/>
      <c r="Q135" s="22"/>
      <c r="R135" s="25"/>
      <c r="S135" s="25"/>
      <c r="W135" s="26">
        <v>0</v>
      </c>
      <c r="X135" s="5">
        <v>0</v>
      </c>
      <c r="Y135" s="5">
        <v>0</v>
      </c>
      <c r="AF135" s="5"/>
      <c r="AG135" s="5"/>
    </row>
    <row r="136" spans="2:60" x14ac:dyDescent="0.2">
      <c r="B136" s="32"/>
      <c r="C136" s="48" t="s">
        <v>113</v>
      </c>
      <c r="D136" s="51"/>
      <c r="E136" s="35" t="s">
        <v>64</v>
      </c>
      <c r="F136" s="36">
        <v>0.06</v>
      </c>
      <c r="G136" s="37">
        <f t="shared" si="7"/>
        <v>143576.27000000002</v>
      </c>
      <c r="H136" s="37">
        <f t="shared" si="7"/>
        <v>143576.26999999999</v>
      </c>
      <c r="I136" s="38">
        <f t="shared" si="8"/>
        <v>0</v>
      </c>
      <c r="J136" s="22"/>
      <c r="K136" s="22"/>
      <c r="L136" s="22"/>
      <c r="M136" s="22"/>
      <c r="N136" s="22"/>
      <c r="O136" s="22"/>
      <c r="P136" s="31"/>
      <c r="Q136" s="22"/>
      <c r="R136" s="25"/>
      <c r="S136" s="25"/>
      <c r="W136" s="26">
        <v>0</v>
      </c>
      <c r="X136" s="26">
        <v>72304.649999999994</v>
      </c>
      <c r="Y136" s="5">
        <v>0</v>
      </c>
      <c r="Z136" s="5">
        <v>14099.79</v>
      </c>
      <c r="AA136" s="5">
        <v>14099.79</v>
      </c>
      <c r="AB136" s="5">
        <v>29717.88</v>
      </c>
      <c r="AC136" s="5">
        <v>29717.88</v>
      </c>
      <c r="AD136" s="5">
        <v>27453.95</v>
      </c>
      <c r="AE136" s="5">
        <v>27453.95</v>
      </c>
      <c r="AF136" s="5"/>
      <c r="AG136" s="5"/>
      <c r="AI136" s="46">
        <v>72304.649999999994</v>
      </c>
    </row>
    <row r="137" spans="2:60" x14ac:dyDescent="0.2">
      <c r="B137" s="32" t="s">
        <v>65</v>
      </c>
      <c r="C137" s="33" t="s">
        <v>115</v>
      </c>
      <c r="D137" s="49" t="s">
        <v>116</v>
      </c>
      <c r="E137" s="35" t="s">
        <v>62</v>
      </c>
      <c r="F137" s="36">
        <v>0.13</v>
      </c>
      <c r="G137" s="37">
        <f t="shared" si="7"/>
        <v>962254598.78162503</v>
      </c>
      <c r="H137" s="37">
        <f t="shared" si="7"/>
        <v>0</v>
      </c>
      <c r="I137" s="38">
        <f t="shared" si="8"/>
        <v>962254598.78162503</v>
      </c>
      <c r="J137" s="22"/>
      <c r="K137" s="22"/>
      <c r="L137" s="22"/>
      <c r="M137" s="22"/>
      <c r="N137" s="22"/>
      <c r="O137" s="22"/>
      <c r="P137" s="31"/>
      <c r="Q137" s="22"/>
      <c r="R137" s="25"/>
      <c r="S137" s="25"/>
      <c r="W137" s="26">
        <v>0</v>
      </c>
      <c r="X137" s="5">
        <v>0</v>
      </c>
      <c r="Y137" s="5">
        <v>0</v>
      </c>
      <c r="AF137" s="5"/>
      <c r="AG137" s="5"/>
      <c r="AY137" s="3">
        <v>249062.3</v>
      </c>
      <c r="BC137" s="3">
        <v>110913794.83</v>
      </c>
      <c r="BG137" s="3">
        <v>851091741.65162504</v>
      </c>
    </row>
    <row r="138" spans="2:60" x14ac:dyDescent="0.2">
      <c r="B138" s="32"/>
      <c r="C138" s="39" t="s">
        <v>115</v>
      </c>
      <c r="D138" s="50"/>
      <c r="E138" s="35" t="s">
        <v>63</v>
      </c>
      <c r="F138" s="36">
        <v>0.09</v>
      </c>
      <c r="G138" s="37">
        <f t="shared" ref="G138:H201" si="9">SUM(J138,L138,N138,P138,R138,T138,V138,X138,Z138,AB138,AD138,AF138,AH138,AJ138,AL138,AN138,AP138,AR138,AU138,AW138,AY138,BC138,BG138)</f>
        <v>28452548.449999999</v>
      </c>
      <c r="H138" s="37">
        <f t="shared" si="9"/>
        <v>0</v>
      </c>
      <c r="I138" s="38">
        <f t="shared" si="8"/>
        <v>28452548.449999999</v>
      </c>
      <c r="J138" s="22"/>
      <c r="K138" s="22"/>
      <c r="L138" s="22"/>
      <c r="M138" s="22"/>
      <c r="N138" s="22"/>
      <c r="O138" s="22"/>
      <c r="P138" s="31"/>
      <c r="Q138" s="22"/>
      <c r="R138" s="25"/>
      <c r="S138" s="25"/>
      <c r="W138" s="26">
        <v>0</v>
      </c>
      <c r="X138" s="5">
        <v>0</v>
      </c>
      <c r="Y138" s="5">
        <v>0</v>
      </c>
      <c r="AB138" s="5" t="s">
        <v>117</v>
      </c>
      <c r="AF138" s="5"/>
      <c r="AG138" s="5"/>
      <c r="BC138" s="3">
        <v>12144431.34</v>
      </c>
      <c r="BG138" s="3">
        <v>16308117.109999999</v>
      </c>
    </row>
    <row r="139" spans="2:60" x14ac:dyDescent="0.2">
      <c r="B139" s="32"/>
      <c r="C139" s="48" t="s">
        <v>115</v>
      </c>
      <c r="D139" s="51"/>
      <c r="E139" s="35" t="s">
        <v>64</v>
      </c>
      <c r="F139" s="36">
        <v>0.06</v>
      </c>
      <c r="G139" s="37">
        <f t="shared" si="9"/>
        <v>33890296.936202802</v>
      </c>
      <c r="H139" s="37">
        <f t="shared" si="9"/>
        <v>308592.62</v>
      </c>
      <c r="I139" s="38">
        <f t="shared" si="8"/>
        <v>33581704.316202804</v>
      </c>
      <c r="J139" s="22"/>
      <c r="K139" s="22"/>
      <c r="L139" s="22"/>
      <c r="M139" s="22"/>
      <c r="N139" s="22"/>
      <c r="O139" s="22"/>
      <c r="P139" s="31"/>
      <c r="Q139" s="22"/>
      <c r="R139" s="25"/>
      <c r="S139" s="25"/>
      <c r="W139" s="26">
        <v>0</v>
      </c>
      <c r="X139" s="26">
        <v>54928.4</v>
      </c>
      <c r="Y139" s="5">
        <v>0</v>
      </c>
      <c r="Z139" s="5">
        <v>14099.79</v>
      </c>
      <c r="AA139" s="5">
        <v>14099.79</v>
      </c>
      <c r="AB139" s="5">
        <v>29717.88</v>
      </c>
      <c r="AC139" s="5">
        <v>29717.88</v>
      </c>
      <c r="AF139" s="5"/>
      <c r="AG139" s="5"/>
      <c r="AQ139" s="3">
        <v>54928.4</v>
      </c>
      <c r="AY139" s="3">
        <v>217547.67</v>
      </c>
      <c r="AZ139" s="3">
        <v>148752.97</v>
      </c>
      <c r="BC139" s="3">
        <v>133010.35</v>
      </c>
      <c r="BD139" s="3">
        <v>30546.79</v>
      </c>
      <c r="BG139" s="3">
        <v>33440992.846202798</v>
      </c>
      <c r="BH139" s="3">
        <v>30546.79</v>
      </c>
    </row>
    <row r="140" spans="2:60" x14ac:dyDescent="0.2">
      <c r="B140" s="32" t="s">
        <v>65</v>
      </c>
      <c r="C140" s="33" t="s">
        <v>118</v>
      </c>
      <c r="D140" s="49" t="s">
        <v>119</v>
      </c>
      <c r="E140" s="35" t="s">
        <v>62</v>
      </c>
      <c r="F140" s="36">
        <v>0.13</v>
      </c>
      <c r="G140" s="37">
        <f t="shared" si="9"/>
        <v>0</v>
      </c>
      <c r="H140" s="37">
        <f t="shared" si="9"/>
        <v>0</v>
      </c>
      <c r="I140" s="38">
        <f t="shared" si="8"/>
        <v>0</v>
      </c>
      <c r="J140" s="22"/>
      <c r="K140" s="22"/>
      <c r="L140" s="22"/>
      <c r="M140" s="22"/>
      <c r="N140" s="22"/>
      <c r="O140" s="22"/>
      <c r="P140" s="31"/>
      <c r="Q140" s="22"/>
      <c r="R140" s="25"/>
      <c r="S140" s="25"/>
      <c r="W140" s="26">
        <v>0</v>
      </c>
      <c r="X140" s="5"/>
      <c r="AF140" s="5"/>
      <c r="AG140" s="5"/>
    </row>
    <row r="141" spans="2:60" x14ac:dyDescent="0.2">
      <c r="B141" s="32"/>
      <c r="C141" s="39" t="s">
        <v>118</v>
      </c>
      <c r="D141" s="50"/>
      <c r="E141" s="35" t="s">
        <v>63</v>
      </c>
      <c r="F141" s="36">
        <v>0.09</v>
      </c>
      <c r="G141" s="37">
        <f t="shared" si="9"/>
        <v>0</v>
      </c>
      <c r="H141" s="37">
        <f t="shared" si="9"/>
        <v>0</v>
      </c>
      <c r="I141" s="38">
        <f t="shared" si="8"/>
        <v>0</v>
      </c>
      <c r="J141" s="22"/>
      <c r="K141" s="22"/>
      <c r="L141" s="22"/>
      <c r="M141" s="22"/>
      <c r="N141" s="22"/>
      <c r="O141" s="22"/>
      <c r="P141" s="31"/>
      <c r="Q141" s="22"/>
      <c r="R141" s="25"/>
      <c r="S141" s="25"/>
      <c r="W141" s="26">
        <v>0</v>
      </c>
      <c r="X141" s="5"/>
      <c r="AB141" s="5" t="s">
        <v>117</v>
      </c>
      <c r="AF141" s="5"/>
      <c r="AG141" s="5"/>
    </row>
    <row r="142" spans="2:60" x14ac:dyDescent="0.2">
      <c r="B142" s="32"/>
      <c r="C142" s="48" t="s">
        <v>118</v>
      </c>
      <c r="D142" s="51"/>
      <c r="E142" s="35" t="s">
        <v>64</v>
      </c>
      <c r="F142" s="36">
        <v>0.06</v>
      </c>
      <c r="G142" s="37">
        <f t="shared" si="9"/>
        <v>43817.67</v>
      </c>
      <c r="H142" s="37">
        <f t="shared" si="9"/>
        <v>43817.67</v>
      </c>
      <c r="I142" s="38">
        <f t="shared" si="8"/>
        <v>0</v>
      </c>
      <c r="J142" s="22"/>
      <c r="K142" s="22"/>
      <c r="L142" s="22"/>
      <c r="M142" s="22"/>
      <c r="N142" s="22"/>
      <c r="O142" s="22"/>
      <c r="P142" s="31"/>
      <c r="Q142" s="22"/>
      <c r="R142" s="25"/>
      <c r="S142" s="25"/>
      <c r="W142" s="26">
        <v>0</v>
      </c>
      <c r="Z142" s="5">
        <v>14099.79</v>
      </c>
      <c r="AA142" s="5">
        <v>14099.79</v>
      </c>
      <c r="AB142" s="5">
        <v>29717.88</v>
      </c>
      <c r="AC142" s="5">
        <v>29717.88</v>
      </c>
      <c r="AF142" s="5"/>
      <c r="AG142" s="5"/>
    </row>
    <row r="143" spans="2:60" x14ac:dyDescent="0.2">
      <c r="B143" s="58" t="s">
        <v>120</v>
      </c>
      <c r="C143" s="59"/>
      <c r="D143" s="60" t="s">
        <v>121</v>
      </c>
      <c r="E143" s="35" t="s">
        <v>62</v>
      </c>
      <c r="F143" s="36">
        <v>0.13</v>
      </c>
      <c r="G143" s="37">
        <f t="shared" si="9"/>
        <v>460101961.28000003</v>
      </c>
      <c r="H143" s="37">
        <f t="shared" si="9"/>
        <v>517908785.89000005</v>
      </c>
      <c r="I143" s="38">
        <f t="shared" si="8"/>
        <v>-57806824.610000014</v>
      </c>
      <c r="J143" s="22"/>
      <c r="K143" s="22"/>
      <c r="L143" s="22">
        <v>124437172.79000001</v>
      </c>
      <c r="M143" s="24">
        <v>113016977.76000001</v>
      </c>
      <c r="N143" s="22">
        <v>118132800.77</v>
      </c>
      <c r="O143" s="22">
        <v>97935084.400000006</v>
      </c>
      <c r="P143" s="61">
        <v>187663063.66999999</v>
      </c>
      <c r="Q143" s="22">
        <v>170746433.28</v>
      </c>
      <c r="R143" s="62">
        <v>1802868.16</v>
      </c>
      <c r="S143" s="25">
        <v>50623658.600000001</v>
      </c>
      <c r="T143" s="5">
        <v>4281795.62</v>
      </c>
      <c r="U143" s="5">
        <v>2975548.58</v>
      </c>
      <c r="V143" s="26">
        <v>7863.1300000005904</v>
      </c>
      <c r="W143" s="26">
        <f>10734978.07+31725663.72</f>
        <v>42460641.789999999</v>
      </c>
      <c r="X143" s="5"/>
      <c r="Z143" s="5">
        <v>1042108.81</v>
      </c>
      <c r="AA143" s="5">
        <v>31243211.690000001</v>
      </c>
      <c r="AB143" s="5">
        <f>21741403.03+21437.16</f>
        <v>21762840.190000001</v>
      </c>
      <c r="AC143" s="5">
        <f>8634868.74+21437.16</f>
        <v>8656305.9000000004</v>
      </c>
      <c r="AD143" s="5">
        <v>1120973.3</v>
      </c>
      <c r="AE143" s="5">
        <v>250923.89</v>
      </c>
      <c r="AF143" s="5"/>
      <c r="AG143" s="5"/>
      <c r="AH143" s="46">
        <v>-149525.16</v>
      </c>
    </row>
    <row r="144" spans="2:60" x14ac:dyDescent="0.2">
      <c r="B144" s="63" t="s">
        <v>122</v>
      </c>
      <c r="C144" s="64" t="s">
        <v>123</v>
      </c>
      <c r="D144" s="65"/>
      <c r="E144" s="35" t="s">
        <v>64</v>
      </c>
      <c r="F144" s="36">
        <v>0.06</v>
      </c>
      <c r="G144" s="37">
        <f t="shared" si="9"/>
        <v>4015138.5</v>
      </c>
      <c r="H144" s="37">
        <f t="shared" si="9"/>
        <v>0</v>
      </c>
      <c r="I144" s="38">
        <f t="shared" si="8"/>
        <v>4015138.5</v>
      </c>
      <c r="J144" s="66"/>
      <c r="K144" s="66"/>
      <c r="L144" s="66"/>
      <c r="M144" s="67"/>
      <c r="N144" s="66"/>
      <c r="O144" s="66"/>
      <c r="P144" s="68"/>
      <c r="Q144" s="66"/>
      <c r="R144" s="69"/>
      <c r="S144" s="70"/>
      <c r="V144" s="26">
        <v>4015138.5</v>
      </c>
      <c r="AF144" s="5"/>
      <c r="AG144" s="5"/>
    </row>
    <row r="145" spans="2:59" x14ac:dyDescent="0.2">
      <c r="B145" s="63" t="s">
        <v>124</v>
      </c>
      <c r="C145" s="64">
        <v>2450</v>
      </c>
      <c r="D145" s="65"/>
      <c r="E145" s="35" t="s">
        <v>64</v>
      </c>
      <c r="F145" s="36">
        <v>0.06</v>
      </c>
      <c r="G145" s="37">
        <f t="shared" si="9"/>
        <v>3514315.6399999997</v>
      </c>
      <c r="H145" s="37">
        <f t="shared" si="9"/>
        <v>925268.3899999999</v>
      </c>
      <c r="I145" s="38">
        <f t="shared" si="8"/>
        <v>2589047.25</v>
      </c>
      <c r="J145" s="66"/>
      <c r="K145" s="66"/>
      <c r="L145" s="66"/>
      <c r="M145" s="67"/>
      <c r="N145" s="66"/>
      <c r="O145" s="66"/>
      <c r="P145" s="68"/>
      <c r="Q145" s="66"/>
      <c r="R145" s="69"/>
      <c r="S145" s="70"/>
      <c r="V145" s="26">
        <v>2589047.25</v>
      </c>
      <c r="W145" s="26">
        <v>0</v>
      </c>
      <c r="X145" s="26">
        <v>463103.22</v>
      </c>
      <c r="Y145" s="26">
        <v>463103.22</v>
      </c>
      <c r="Z145" s="5">
        <v>462165.17</v>
      </c>
      <c r="AA145" s="5">
        <v>462165.17</v>
      </c>
      <c r="AF145" s="5"/>
      <c r="AG145" s="5"/>
    </row>
    <row r="146" spans="2:59" ht="14.1" customHeight="1" x14ac:dyDescent="0.2">
      <c r="B146" s="32" t="s">
        <v>125</v>
      </c>
      <c r="C146" s="59"/>
      <c r="D146" s="60"/>
      <c r="E146" s="35" t="s">
        <v>64</v>
      </c>
      <c r="F146" s="36">
        <v>0.06</v>
      </c>
      <c r="G146" s="37">
        <f t="shared" si="9"/>
        <v>3259698.68</v>
      </c>
      <c r="H146" s="37">
        <f t="shared" si="9"/>
        <v>3785734.8999999994</v>
      </c>
      <c r="I146" s="38">
        <f t="shared" si="8"/>
        <v>-526036.21999999927</v>
      </c>
      <c r="J146" s="66"/>
      <c r="K146" s="66"/>
      <c r="L146" s="66"/>
      <c r="M146" s="67"/>
      <c r="N146" s="66"/>
      <c r="O146" s="66"/>
      <c r="P146" s="68"/>
      <c r="Q146" s="66"/>
      <c r="R146" s="69">
        <v>360218.95</v>
      </c>
      <c r="S146" s="70">
        <v>488120.76</v>
      </c>
      <c r="V146" s="26">
        <v>360218.95</v>
      </c>
      <c r="W146" s="26">
        <v>0</v>
      </c>
      <c r="X146" s="26">
        <v>802671.78</v>
      </c>
      <c r="Y146" s="5">
        <v>0</v>
      </c>
      <c r="Z146" s="5">
        <v>360218.95</v>
      </c>
      <c r="AA146" s="5">
        <v>1203358.5</v>
      </c>
      <c r="AB146" s="5">
        <v>360218.95</v>
      </c>
      <c r="AC146" s="5">
        <v>442452.83</v>
      </c>
      <c r="AD146" s="5">
        <v>835963.65</v>
      </c>
      <c r="AE146" s="5">
        <v>666090.56999999995</v>
      </c>
      <c r="AF146" s="5">
        <v>180187.45</v>
      </c>
      <c r="AG146" s="5">
        <v>985712.24</v>
      </c>
    </row>
    <row r="147" spans="2:59" x14ac:dyDescent="0.2">
      <c r="B147" s="71"/>
      <c r="C147" s="64"/>
      <c r="D147" s="65"/>
      <c r="E147" s="35" t="s">
        <v>62</v>
      </c>
      <c r="F147" s="36">
        <v>0.13</v>
      </c>
      <c r="G147" s="37">
        <f t="shared" si="9"/>
        <v>4431463.13</v>
      </c>
      <c r="H147" s="37">
        <f t="shared" si="9"/>
        <v>6872618.1600000001</v>
      </c>
      <c r="I147" s="38">
        <f t="shared" si="8"/>
        <v>-2441155.0300000003</v>
      </c>
      <c r="J147" s="66"/>
      <c r="K147" s="66"/>
      <c r="L147" s="66"/>
      <c r="M147" s="67"/>
      <c r="N147" s="66"/>
      <c r="O147" s="66"/>
      <c r="P147" s="68"/>
      <c r="Q147" s="66"/>
      <c r="R147" s="69">
        <v>10583.33</v>
      </c>
      <c r="S147" s="70">
        <v>0</v>
      </c>
      <c r="X147" s="26">
        <v>575382.01</v>
      </c>
      <c r="Y147" s="5">
        <v>0</v>
      </c>
      <c r="Z147" s="5">
        <v>997620.2</v>
      </c>
      <c r="AA147" s="5">
        <v>398230.09</v>
      </c>
      <c r="AB147" s="5">
        <v>2367164.46</v>
      </c>
      <c r="AC147" s="5">
        <v>3283893.81</v>
      </c>
      <c r="AE147" s="5">
        <v>929203.54</v>
      </c>
      <c r="AF147" s="5">
        <v>480713.13</v>
      </c>
      <c r="AG147" s="5">
        <v>2261290.7200000002</v>
      </c>
    </row>
    <row r="148" spans="2:59" ht="14.1" customHeight="1" x14ac:dyDescent="0.2">
      <c r="B148" s="72"/>
      <c r="C148" s="59"/>
      <c r="D148" s="60"/>
      <c r="E148" s="35" t="s">
        <v>63</v>
      </c>
      <c r="F148" s="36">
        <v>0.09</v>
      </c>
      <c r="G148" s="37">
        <f t="shared" si="9"/>
        <v>1670642.21</v>
      </c>
      <c r="H148" s="37">
        <f t="shared" si="9"/>
        <v>957798.17</v>
      </c>
      <c r="I148" s="38">
        <f t="shared" si="8"/>
        <v>712844.03999999992</v>
      </c>
      <c r="J148" s="66"/>
      <c r="K148" s="66"/>
      <c r="L148" s="66"/>
      <c r="M148" s="67"/>
      <c r="N148" s="66"/>
      <c r="O148" s="66"/>
      <c r="P148" s="68"/>
      <c r="Q148" s="66"/>
      <c r="R148" s="69"/>
      <c r="S148" s="70"/>
      <c r="Z148" s="5">
        <v>712844.04</v>
      </c>
      <c r="AB148" s="5">
        <v>957798.17</v>
      </c>
      <c r="AC148" s="5">
        <v>957798.17</v>
      </c>
      <c r="AF148" s="5"/>
      <c r="AG148" s="5"/>
    </row>
    <row r="149" spans="2:59" x14ac:dyDescent="0.2">
      <c r="B149" s="73" t="s">
        <v>126</v>
      </c>
      <c r="C149" s="74" t="s">
        <v>127</v>
      </c>
      <c r="D149" s="75"/>
      <c r="E149" s="76" t="s">
        <v>62</v>
      </c>
      <c r="F149" s="77">
        <v>0.13</v>
      </c>
      <c r="G149" s="37">
        <f t="shared" si="9"/>
        <v>0</v>
      </c>
      <c r="H149" s="37">
        <f t="shared" si="9"/>
        <v>0</v>
      </c>
      <c r="I149" s="38">
        <f t="shared" si="8"/>
        <v>0</v>
      </c>
      <c r="J149" s="66"/>
      <c r="K149" s="66"/>
      <c r="L149" s="66"/>
      <c r="M149" s="67"/>
      <c r="N149" s="66"/>
      <c r="O149" s="66"/>
      <c r="P149" s="68"/>
      <c r="Q149" s="66"/>
      <c r="R149" s="69"/>
      <c r="S149" s="69"/>
      <c r="AE149" s="5">
        <v>0</v>
      </c>
      <c r="AF149" s="5"/>
      <c r="AG149" s="5"/>
    </row>
    <row r="150" spans="2:59" x14ac:dyDescent="0.2">
      <c r="B150" s="55"/>
      <c r="C150" s="59" t="s">
        <v>127</v>
      </c>
      <c r="D150" s="60"/>
      <c r="E150" s="35" t="s">
        <v>63</v>
      </c>
      <c r="F150" s="36">
        <v>0.09</v>
      </c>
      <c r="G150" s="37">
        <f t="shared" si="9"/>
        <v>11854991.439999999</v>
      </c>
      <c r="H150" s="37">
        <f t="shared" si="9"/>
        <v>0</v>
      </c>
      <c r="I150" s="38">
        <f t="shared" si="8"/>
        <v>11854991.439999999</v>
      </c>
      <c r="J150" s="78"/>
      <c r="K150" s="66"/>
      <c r="L150" s="66"/>
      <c r="M150" s="67"/>
      <c r="N150" s="66"/>
      <c r="O150" s="79"/>
      <c r="P150" s="61"/>
      <c r="Q150" s="22"/>
      <c r="R150" s="62">
        <v>11714285.689999999</v>
      </c>
      <c r="S150" s="25">
        <v>0</v>
      </c>
      <c r="T150" s="25"/>
      <c r="U150" s="25"/>
      <c r="V150" s="80"/>
      <c r="W150" s="81"/>
      <c r="Y150" s="82"/>
      <c r="Z150" s="82"/>
      <c r="AA150" s="82"/>
      <c r="AB150" s="5">
        <v>329128.44</v>
      </c>
      <c r="AF150" s="5"/>
      <c r="AG150" s="5"/>
      <c r="AN150" s="3">
        <v>711665.66</v>
      </c>
      <c r="AP150" s="3">
        <v>-1084400.27</v>
      </c>
      <c r="AU150" s="5">
        <v>184311.92</v>
      </c>
    </row>
    <row r="151" spans="2:59" x14ac:dyDescent="0.2">
      <c r="B151" s="55"/>
      <c r="C151" s="59" t="s">
        <v>127</v>
      </c>
      <c r="D151" s="60"/>
      <c r="E151" s="83" t="s">
        <v>64</v>
      </c>
      <c r="F151" s="84">
        <v>0.06</v>
      </c>
      <c r="G151" s="37">
        <f t="shared" si="9"/>
        <v>2327056.9700000002</v>
      </c>
      <c r="H151" s="37">
        <f t="shared" si="9"/>
        <v>1049424.1299999999</v>
      </c>
      <c r="I151" s="38">
        <f t="shared" si="8"/>
        <v>1277632.8400000003</v>
      </c>
      <c r="J151" s="66"/>
      <c r="K151" s="66"/>
      <c r="L151" s="66"/>
      <c r="M151" s="67"/>
      <c r="N151" s="66"/>
      <c r="O151" s="66"/>
      <c r="P151" s="85"/>
      <c r="Q151" s="86"/>
      <c r="R151" s="87"/>
      <c r="S151" s="88"/>
      <c r="V151" s="26">
        <v>102475.29</v>
      </c>
      <c r="X151" s="5">
        <v>66730.210000000006</v>
      </c>
      <c r="Y151" s="5">
        <v>66730.210000000006</v>
      </c>
      <c r="Z151" s="5">
        <v>50759.24</v>
      </c>
      <c r="AA151" s="5">
        <v>50759.24</v>
      </c>
      <c r="AB151" s="5">
        <f>90757.28+106984.35+1084400.27</f>
        <v>1282141.8999999999</v>
      </c>
      <c r="AC151" s="5">
        <v>106984.35</v>
      </c>
      <c r="AD151" s="5">
        <v>175712.49</v>
      </c>
      <c r="AE151" s="5">
        <v>175712.49</v>
      </c>
      <c r="AF151" s="5"/>
      <c r="AG151" s="5"/>
      <c r="AH151" s="89">
        <v>453133.28</v>
      </c>
      <c r="AI151" s="46">
        <v>453133.28</v>
      </c>
      <c r="AW151" s="5">
        <v>59075.94</v>
      </c>
      <c r="AX151" s="5">
        <v>59075.94</v>
      </c>
      <c r="AY151" s="3">
        <v>137028.62</v>
      </c>
      <c r="AZ151" s="3">
        <v>137028.62</v>
      </c>
    </row>
    <row r="152" spans="2:59" ht="13.5" customHeight="1" x14ac:dyDescent="0.2">
      <c r="B152" s="90" t="s">
        <v>128</v>
      </c>
      <c r="C152" s="64"/>
      <c r="D152" s="65"/>
      <c r="E152" s="35" t="s">
        <v>64</v>
      </c>
      <c r="F152" s="36">
        <v>0.06</v>
      </c>
      <c r="G152" s="37">
        <f t="shared" si="9"/>
        <v>432137.39</v>
      </c>
      <c r="H152" s="37">
        <f t="shared" si="9"/>
        <v>0</v>
      </c>
      <c r="I152" s="38">
        <f t="shared" si="8"/>
        <v>432137.39</v>
      </c>
      <c r="J152" s="66"/>
      <c r="K152" s="66"/>
      <c r="L152" s="66"/>
      <c r="M152" s="67"/>
      <c r="N152" s="66"/>
      <c r="O152" s="66"/>
      <c r="P152" s="68"/>
      <c r="Q152" s="66"/>
      <c r="R152" s="69">
        <v>15104.44</v>
      </c>
      <c r="S152" s="70">
        <v>0</v>
      </c>
      <c r="T152" s="5">
        <v>367756</v>
      </c>
      <c r="X152" s="5"/>
      <c r="AD152" s="5">
        <v>49276.95</v>
      </c>
      <c r="AF152" s="5"/>
      <c r="AG152" s="5"/>
    </row>
    <row r="153" spans="2:59" x14ac:dyDescent="0.2">
      <c r="B153" s="55" t="s">
        <v>129</v>
      </c>
      <c r="C153" s="64"/>
      <c r="D153" s="34" t="s">
        <v>130</v>
      </c>
      <c r="E153" s="76" t="s">
        <v>62</v>
      </c>
      <c r="F153" s="77">
        <v>0.13</v>
      </c>
      <c r="G153" s="37">
        <f t="shared" si="9"/>
        <v>0</v>
      </c>
      <c r="H153" s="37">
        <f t="shared" si="9"/>
        <v>0</v>
      </c>
      <c r="I153" s="38">
        <f t="shared" si="8"/>
        <v>0</v>
      </c>
      <c r="J153" s="66"/>
      <c r="K153" s="66"/>
      <c r="L153" s="66"/>
      <c r="M153" s="67"/>
      <c r="N153" s="66"/>
      <c r="O153" s="66"/>
      <c r="P153" s="68"/>
      <c r="Q153" s="66"/>
      <c r="R153" s="69"/>
      <c r="S153" s="70"/>
      <c r="X153" s="5"/>
      <c r="Z153" s="5">
        <v>341843.4</v>
      </c>
      <c r="AA153" s="5">
        <v>0</v>
      </c>
      <c r="AD153" s="5">
        <v>30368.240000000002</v>
      </c>
      <c r="AE153" s="5">
        <v>0</v>
      </c>
      <c r="AF153" s="5"/>
      <c r="AG153" s="5"/>
      <c r="AJ153" s="3">
        <v>-372211.64</v>
      </c>
    </row>
    <row r="154" spans="2:59" x14ac:dyDescent="0.2">
      <c r="B154" s="91"/>
      <c r="C154" s="59"/>
      <c r="D154" s="40"/>
      <c r="E154" s="35" t="s">
        <v>63</v>
      </c>
      <c r="F154" s="36">
        <v>0.09</v>
      </c>
      <c r="G154" s="37">
        <f t="shared" si="9"/>
        <v>3264116.1799999997</v>
      </c>
      <c r="H154" s="37">
        <f t="shared" si="9"/>
        <v>3109166.81</v>
      </c>
      <c r="I154" s="38">
        <f t="shared" si="8"/>
        <v>154949.36999999965</v>
      </c>
      <c r="J154" s="66"/>
      <c r="K154" s="66"/>
      <c r="L154" s="66"/>
      <c r="M154" s="67"/>
      <c r="N154" s="66"/>
      <c r="O154" s="66"/>
      <c r="P154" s="68"/>
      <c r="Q154" s="66"/>
      <c r="R154" s="69"/>
      <c r="S154" s="70"/>
      <c r="X154" s="5"/>
      <c r="Z154" s="5">
        <v>0</v>
      </c>
      <c r="AA154" s="5">
        <v>701064.99</v>
      </c>
      <c r="AD154" s="5">
        <v>1354159.85</v>
      </c>
      <c r="AE154" s="5">
        <v>0</v>
      </c>
      <c r="AF154" s="5"/>
      <c r="AG154" s="5">
        <v>799082.57</v>
      </c>
      <c r="AJ154" s="3">
        <v>1111642.49</v>
      </c>
      <c r="AN154" s="3">
        <v>244755.25</v>
      </c>
      <c r="AR154" s="3">
        <v>3505.33</v>
      </c>
      <c r="AS154" s="5">
        <v>953579.9</v>
      </c>
      <c r="AZ154" s="3">
        <v>655439.35</v>
      </c>
      <c r="BC154" s="3">
        <v>550053.26</v>
      </c>
    </row>
    <row r="155" spans="2:59" x14ac:dyDescent="0.2">
      <c r="B155" s="90" t="s">
        <v>110</v>
      </c>
      <c r="C155" s="92"/>
      <c r="D155" s="93" t="s">
        <v>131</v>
      </c>
      <c r="E155" s="35" t="s">
        <v>63</v>
      </c>
      <c r="F155" s="36">
        <v>0.09</v>
      </c>
      <c r="G155" s="37">
        <f t="shared" si="9"/>
        <v>458715.6</v>
      </c>
      <c r="H155" s="37">
        <f t="shared" si="9"/>
        <v>458715.6</v>
      </c>
      <c r="I155" s="38">
        <f t="shared" si="8"/>
        <v>0</v>
      </c>
      <c r="J155" s="66"/>
      <c r="K155" s="66"/>
      <c r="L155" s="66"/>
      <c r="M155" s="67"/>
      <c r="N155" s="66"/>
      <c r="O155" s="66"/>
      <c r="P155" s="68"/>
      <c r="Q155" s="66"/>
      <c r="R155" s="69"/>
      <c r="S155" s="70"/>
      <c r="X155" s="5"/>
      <c r="Z155" s="5">
        <v>458715.6</v>
      </c>
      <c r="AA155" s="5">
        <v>458715.6</v>
      </c>
      <c r="AF155" s="5"/>
      <c r="AG155" s="5"/>
    </row>
    <row r="156" spans="2:59" x14ac:dyDescent="0.2">
      <c r="B156" s="73" t="s">
        <v>110</v>
      </c>
      <c r="C156" s="42" t="s">
        <v>132</v>
      </c>
      <c r="D156" s="49" t="s">
        <v>133</v>
      </c>
      <c r="E156" s="35" t="s">
        <v>62</v>
      </c>
      <c r="F156" s="36">
        <v>0.13</v>
      </c>
      <c r="G156" s="37">
        <f t="shared" si="9"/>
        <v>53743240.369999997</v>
      </c>
      <c r="H156" s="37">
        <f t="shared" si="9"/>
        <v>3815226.34</v>
      </c>
      <c r="I156" s="38">
        <f t="shared" si="8"/>
        <v>49928014.030000001</v>
      </c>
      <c r="J156" s="66"/>
      <c r="K156" s="66"/>
      <c r="L156" s="66"/>
      <c r="M156" s="67"/>
      <c r="N156" s="66"/>
      <c r="O156" s="66"/>
      <c r="P156" s="68"/>
      <c r="Q156" s="66"/>
      <c r="R156" s="69"/>
      <c r="S156" s="70"/>
      <c r="X156" s="5"/>
      <c r="AB156" s="5">
        <v>37177758.189999998</v>
      </c>
      <c r="AD156" s="5">
        <v>14129820.949999999</v>
      </c>
      <c r="AE156" s="5">
        <v>3815226.34</v>
      </c>
      <c r="AF156" s="5">
        <v>1338797.3899999999</v>
      </c>
      <c r="AG156" s="5"/>
      <c r="AH156" s="46">
        <v>1094494.9099999999</v>
      </c>
      <c r="AY156" s="3">
        <v>2368.9299999999998</v>
      </c>
    </row>
    <row r="157" spans="2:59" ht="15.6" customHeight="1" x14ac:dyDescent="0.2">
      <c r="B157" s="55"/>
      <c r="C157" s="94"/>
      <c r="D157" s="95"/>
      <c r="E157" s="35" t="s">
        <v>63</v>
      </c>
      <c r="F157" s="36">
        <v>0.09</v>
      </c>
      <c r="G157" s="37">
        <f t="shared" si="9"/>
        <v>278617942.99999994</v>
      </c>
      <c r="H157" s="37">
        <f t="shared" si="9"/>
        <v>257429532.72999999</v>
      </c>
      <c r="I157" s="38">
        <f t="shared" si="8"/>
        <v>21188410.269999951</v>
      </c>
      <c r="J157" s="66"/>
      <c r="K157" s="66"/>
      <c r="L157" s="66"/>
      <c r="M157" s="67"/>
      <c r="N157" s="66"/>
      <c r="O157" s="66"/>
      <c r="P157" s="68"/>
      <c r="Q157" s="66"/>
      <c r="R157" s="69"/>
      <c r="S157" s="70"/>
      <c r="X157" s="5"/>
      <c r="Z157" s="5">
        <v>0</v>
      </c>
      <c r="AA157" s="5">
        <v>90265486.709999993</v>
      </c>
      <c r="AB157" s="5">
        <v>175901223.38999999</v>
      </c>
      <c r="AC157" s="5">
        <v>60176991.140000001</v>
      </c>
      <c r="AD157" s="5">
        <v>98626553.209999993</v>
      </c>
      <c r="AF157" s="5"/>
      <c r="AG157" s="5">
        <v>90265486.709999993</v>
      </c>
      <c r="AH157" s="46">
        <v>1581031.78</v>
      </c>
      <c r="AK157" s="3">
        <v>16721568.17</v>
      </c>
      <c r="AN157" s="3">
        <v>1682140.57</v>
      </c>
      <c r="AP157" s="3">
        <v>818443.6</v>
      </c>
      <c r="BG157" s="3">
        <v>8550.4500000000007</v>
      </c>
    </row>
    <row r="158" spans="2:59" ht="18" customHeight="1" x14ac:dyDescent="0.2">
      <c r="B158" s="91"/>
      <c r="C158" s="45"/>
      <c r="D158" s="51"/>
      <c r="E158" s="35" t="s">
        <v>64</v>
      </c>
      <c r="F158" s="36">
        <v>0.06</v>
      </c>
      <c r="G158" s="37">
        <f t="shared" si="9"/>
        <v>40007490.599999994</v>
      </c>
      <c r="H158" s="37">
        <f t="shared" si="9"/>
        <v>48684492.489999995</v>
      </c>
      <c r="I158" s="38">
        <f t="shared" si="8"/>
        <v>-8677001.8900000006</v>
      </c>
      <c r="J158" s="66"/>
      <c r="K158" s="66"/>
      <c r="L158" s="66"/>
      <c r="M158" s="67"/>
      <c r="N158" s="66"/>
      <c r="O158" s="66"/>
      <c r="P158" s="68"/>
      <c r="Q158" s="66"/>
      <c r="R158" s="69"/>
      <c r="S158" s="70"/>
      <c r="X158" s="5"/>
      <c r="AB158" s="5">
        <v>15391666.630000001</v>
      </c>
      <c r="AD158" s="5">
        <v>19566918.699999999</v>
      </c>
      <c r="AE158" s="5">
        <v>10235701.83</v>
      </c>
      <c r="AF158" s="5">
        <v>3512169.91</v>
      </c>
      <c r="AG158" s="5"/>
      <c r="AJ158" s="3">
        <v>113147.34</v>
      </c>
      <c r="AK158" s="3">
        <v>38448790.659999996</v>
      </c>
      <c r="AL158" s="3">
        <v>127925.52</v>
      </c>
      <c r="AN158" s="3">
        <v>166416.76</v>
      </c>
      <c r="AP158" s="3">
        <v>354020.81</v>
      </c>
      <c r="AR158" s="3">
        <v>306302.33</v>
      </c>
      <c r="AU158" s="5">
        <v>115804.66</v>
      </c>
      <c r="AW158" s="5">
        <v>353117.94</v>
      </c>
    </row>
    <row r="159" spans="2:59" ht="18" customHeight="1" x14ac:dyDescent="0.2">
      <c r="B159" s="73" t="s">
        <v>110</v>
      </c>
      <c r="C159" s="44" t="s">
        <v>134</v>
      </c>
      <c r="D159" s="49" t="s">
        <v>133</v>
      </c>
      <c r="E159" s="35" t="s">
        <v>62</v>
      </c>
      <c r="F159" s="36">
        <v>0.13</v>
      </c>
      <c r="G159" s="37">
        <f t="shared" si="9"/>
        <v>0</v>
      </c>
      <c r="H159" s="37">
        <f t="shared" si="9"/>
        <v>22937085.670000002</v>
      </c>
      <c r="I159" s="38">
        <f t="shared" si="8"/>
        <v>-22937085.670000002</v>
      </c>
      <c r="J159" s="66"/>
      <c r="K159" s="66"/>
      <c r="L159" s="66"/>
      <c r="M159" s="67"/>
      <c r="N159" s="66"/>
      <c r="O159" s="66"/>
      <c r="P159" s="68"/>
      <c r="Q159" s="66"/>
      <c r="R159" s="69"/>
      <c r="S159" s="70"/>
      <c r="X159" s="5"/>
      <c r="AF159" s="5"/>
      <c r="AG159" s="5"/>
      <c r="AK159" s="3">
        <v>22937085.670000002</v>
      </c>
    </row>
    <row r="160" spans="2:59" ht="18" customHeight="1" x14ac:dyDescent="0.2">
      <c r="B160" s="55"/>
      <c r="C160" s="44"/>
      <c r="D160" s="95"/>
      <c r="E160" s="35" t="s">
        <v>63</v>
      </c>
      <c r="F160" s="36">
        <v>0.09</v>
      </c>
      <c r="G160" s="37">
        <f t="shared" si="9"/>
        <v>0</v>
      </c>
      <c r="H160" s="37">
        <f t="shared" si="9"/>
        <v>21524605.219999999</v>
      </c>
      <c r="I160" s="38">
        <f t="shared" si="8"/>
        <v>-21524605.219999999</v>
      </c>
      <c r="J160" s="66"/>
      <c r="K160" s="66"/>
      <c r="L160" s="66"/>
      <c r="M160" s="67"/>
      <c r="N160" s="66"/>
      <c r="O160" s="66"/>
      <c r="P160" s="68"/>
      <c r="Q160" s="66"/>
      <c r="R160" s="69"/>
      <c r="S160" s="70"/>
      <c r="X160" s="5"/>
      <c r="AF160" s="5"/>
      <c r="AG160" s="5"/>
      <c r="AK160" s="3">
        <v>21524605.219999999</v>
      </c>
    </row>
    <row r="161" spans="2:60" ht="18" customHeight="1" x14ac:dyDescent="0.2">
      <c r="B161" s="91"/>
      <c r="C161" s="44"/>
      <c r="D161" s="51"/>
      <c r="E161" s="35" t="s">
        <v>64</v>
      </c>
      <c r="F161" s="36">
        <v>0.06</v>
      </c>
      <c r="G161" s="37">
        <f t="shared" si="9"/>
        <v>0</v>
      </c>
      <c r="H161" s="37">
        <f t="shared" si="9"/>
        <v>0</v>
      </c>
      <c r="I161" s="38">
        <f t="shared" si="8"/>
        <v>0</v>
      </c>
      <c r="J161" s="66"/>
      <c r="K161" s="66"/>
      <c r="L161" s="66"/>
      <c r="M161" s="67"/>
      <c r="N161" s="66"/>
      <c r="O161" s="66"/>
      <c r="P161" s="68"/>
      <c r="Q161" s="66"/>
      <c r="R161" s="69"/>
      <c r="S161" s="70"/>
      <c r="X161" s="5"/>
      <c r="AF161" s="5"/>
      <c r="AG161" s="5"/>
    </row>
    <row r="162" spans="2:60" x14ac:dyDescent="0.2">
      <c r="B162" s="32" t="s">
        <v>65</v>
      </c>
      <c r="C162" s="33">
        <v>2365</v>
      </c>
      <c r="D162" s="49" t="s">
        <v>135</v>
      </c>
      <c r="E162" s="35" t="s">
        <v>62</v>
      </c>
      <c r="F162" s="36">
        <v>0.13</v>
      </c>
      <c r="G162" s="37">
        <f t="shared" si="9"/>
        <v>0</v>
      </c>
      <c r="H162" s="37">
        <f t="shared" si="9"/>
        <v>0</v>
      </c>
      <c r="I162" s="38">
        <f t="shared" si="8"/>
        <v>0</v>
      </c>
      <c r="J162" s="22"/>
      <c r="K162" s="22"/>
      <c r="L162" s="22"/>
      <c r="M162" s="22"/>
      <c r="N162" s="22"/>
      <c r="O162" s="22"/>
      <c r="P162" s="31"/>
      <c r="Q162" s="22"/>
      <c r="R162" s="25"/>
      <c r="S162" s="25"/>
      <c r="W162" s="26">
        <v>0</v>
      </c>
      <c r="X162" s="5"/>
      <c r="AF162" s="5"/>
      <c r="AG162" s="5"/>
    </row>
    <row r="163" spans="2:60" x14ac:dyDescent="0.2">
      <c r="B163" s="32"/>
      <c r="C163" s="33">
        <v>2365</v>
      </c>
      <c r="D163" s="95"/>
      <c r="E163" s="35" t="s">
        <v>63</v>
      </c>
      <c r="F163" s="36">
        <v>0.09</v>
      </c>
      <c r="G163" s="37">
        <f t="shared" si="9"/>
        <v>11841818.289999999</v>
      </c>
      <c r="H163" s="37">
        <f t="shared" si="9"/>
        <v>11841818.289999999</v>
      </c>
      <c r="I163" s="38">
        <f t="shared" si="8"/>
        <v>0</v>
      </c>
      <c r="J163" s="22"/>
      <c r="K163" s="22"/>
      <c r="L163" s="22"/>
      <c r="M163" s="22"/>
      <c r="N163" s="22"/>
      <c r="O163" s="22"/>
      <c r="P163" s="31"/>
      <c r="Q163" s="22"/>
      <c r="R163" s="25"/>
      <c r="S163" s="25"/>
      <c r="W163" s="26">
        <v>0</v>
      </c>
      <c r="X163" s="5"/>
      <c r="AB163" s="5" t="s">
        <v>117</v>
      </c>
      <c r="AF163" s="5"/>
      <c r="AG163" s="5"/>
      <c r="AL163" s="3">
        <v>11841818.289999999</v>
      </c>
      <c r="AM163" s="3">
        <v>11841818.289999999</v>
      </c>
    </row>
    <row r="164" spans="2:60" x14ac:dyDescent="0.2">
      <c r="B164" s="32"/>
      <c r="C164" s="33">
        <v>2365</v>
      </c>
      <c r="D164" s="51"/>
      <c r="E164" s="35" t="s">
        <v>64</v>
      </c>
      <c r="F164" s="36">
        <v>0.06</v>
      </c>
      <c r="G164" s="37">
        <f t="shared" si="9"/>
        <v>741019.91</v>
      </c>
      <c r="H164" s="37">
        <f t="shared" si="9"/>
        <v>727982.91999999993</v>
      </c>
      <c r="I164" s="38">
        <f t="shared" si="8"/>
        <v>13036.990000000107</v>
      </c>
      <c r="J164" s="22"/>
      <c r="K164" s="22"/>
      <c r="L164" s="22"/>
      <c r="M164" s="22"/>
      <c r="N164" s="22"/>
      <c r="O164" s="22"/>
      <c r="P164" s="31"/>
      <c r="Q164" s="22"/>
      <c r="R164" s="25"/>
      <c r="S164" s="25"/>
      <c r="W164" s="26">
        <v>0</v>
      </c>
      <c r="Z164" s="5">
        <v>28199.58</v>
      </c>
      <c r="AA164" s="5">
        <v>28199.58</v>
      </c>
      <c r="AB164" s="5">
        <v>59435.74</v>
      </c>
      <c r="AC164" s="5">
        <v>59435.74</v>
      </c>
      <c r="AF164" s="5"/>
      <c r="AG164" s="5"/>
      <c r="AJ164" s="3">
        <v>118867.92</v>
      </c>
      <c r="AK164" s="3">
        <v>640347.6</v>
      </c>
      <c r="AL164" s="3">
        <v>534516.67000000004</v>
      </c>
    </row>
    <row r="165" spans="2:60" x14ac:dyDescent="0.2">
      <c r="B165" s="32" t="s">
        <v>65</v>
      </c>
      <c r="C165" s="33">
        <v>3316</v>
      </c>
      <c r="D165" s="49" t="s">
        <v>136</v>
      </c>
      <c r="E165" s="35" t="s">
        <v>62</v>
      </c>
      <c r="F165" s="36">
        <v>0.13</v>
      </c>
      <c r="G165" s="37">
        <f t="shared" si="9"/>
        <v>0</v>
      </c>
      <c r="H165" s="37">
        <f t="shared" si="9"/>
        <v>0</v>
      </c>
      <c r="I165" s="38">
        <f t="shared" si="8"/>
        <v>0</v>
      </c>
      <c r="J165" s="22"/>
      <c r="K165" s="22"/>
      <c r="L165" s="22"/>
      <c r="M165" s="22"/>
      <c r="N165" s="22"/>
      <c r="O165" s="22"/>
      <c r="P165" s="31"/>
      <c r="Q165" s="22"/>
      <c r="R165" s="25"/>
      <c r="S165" s="25"/>
      <c r="W165" s="26">
        <v>0</v>
      </c>
      <c r="X165" s="5"/>
      <c r="AF165" s="5"/>
      <c r="AG165" s="5"/>
    </row>
    <row r="166" spans="2:60" x14ac:dyDescent="0.2">
      <c r="B166" s="32"/>
      <c r="C166" s="33">
        <v>3316</v>
      </c>
      <c r="D166" s="95"/>
      <c r="E166" s="35" t="s">
        <v>63</v>
      </c>
      <c r="F166" s="36">
        <v>0.09</v>
      </c>
      <c r="G166" s="37">
        <f t="shared" si="9"/>
        <v>0</v>
      </c>
      <c r="H166" s="37">
        <f t="shared" si="9"/>
        <v>0</v>
      </c>
      <c r="I166" s="38">
        <f t="shared" si="8"/>
        <v>0</v>
      </c>
      <c r="J166" s="22"/>
      <c r="K166" s="22"/>
      <c r="L166" s="22"/>
      <c r="M166" s="22"/>
      <c r="N166" s="22"/>
      <c r="O166" s="22"/>
      <c r="P166" s="31"/>
      <c r="Q166" s="22"/>
      <c r="R166" s="25"/>
      <c r="S166" s="25"/>
      <c r="W166" s="26">
        <v>0</v>
      </c>
      <c r="X166" s="5"/>
      <c r="AB166" s="5" t="s">
        <v>117</v>
      </c>
      <c r="AF166" s="5"/>
      <c r="AG166" s="5"/>
    </row>
    <row r="167" spans="2:60" ht="12.95" customHeight="1" x14ac:dyDescent="0.2">
      <c r="B167" s="32"/>
      <c r="C167" s="33">
        <v>3316</v>
      </c>
      <c r="D167" s="51"/>
      <c r="E167" s="35" t="s">
        <v>64</v>
      </c>
      <c r="F167" s="36">
        <v>0.06</v>
      </c>
      <c r="G167" s="37">
        <f t="shared" si="9"/>
        <v>5881282.5200000005</v>
      </c>
      <c r="H167" s="37">
        <f t="shared" si="9"/>
        <v>5261984.83</v>
      </c>
      <c r="I167" s="38">
        <f t="shared" si="8"/>
        <v>619297.69000000041</v>
      </c>
      <c r="J167" s="22"/>
      <c r="K167" s="22"/>
      <c r="L167" s="22"/>
      <c r="M167" s="22"/>
      <c r="N167" s="22"/>
      <c r="O167" s="22"/>
      <c r="P167" s="31"/>
      <c r="Q167" s="22"/>
      <c r="R167" s="25"/>
      <c r="S167" s="25"/>
      <c r="W167" s="26">
        <v>0</v>
      </c>
      <c r="Z167" s="5">
        <v>33839.49</v>
      </c>
      <c r="AA167" s="5">
        <v>33839.49</v>
      </c>
      <c r="AB167" s="5">
        <v>458115.35</v>
      </c>
      <c r="AC167" s="5">
        <v>71322.899999999994</v>
      </c>
      <c r="AD167" s="5">
        <v>117141.73</v>
      </c>
      <c r="AE167" s="5">
        <v>117141.73</v>
      </c>
      <c r="AF167" s="5"/>
      <c r="AG167" s="5"/>
      <c r="AH167" s="89">
        <v>456112.42</v>
      </c>
      <c r="AI167" s="89">
        <v>456112.42</v>
      </c>
      <c r="AJ167" s="3">
        <v>239467.5</v>
      </c>
      <c r="AK167" s="3">
        <v>192945.49</v>
      </c>
      <c r="AL167" s="3">
        <v>109532.01</v>
      </c>
      <c r="AM167" s="3">
        <v>109532.01</v>
      </c>
      <c r="AN167" s="3">
        <v>475782.12</v>
      </c>
      <c r="AO167" s="3">
        <v>50945.05</v>
      </c>
      <c r="AP167" s="3">
        <v>42922.29</v>
      </c>
      <c r="AQ167" s="3">
        <v>476236.75</v>
      </c>
      <c r="AR167" s="3">
        <v>2218663.42</v>
      </c>
      <c r="AS167" s="5">
        <v>2218663.42</v>
      </c>
      <c r="AU167" s="5">
        <v>85445.65</v>
      </c>
      <c r="AV167" s="5">
        <v>85445.65</v>
      </c>
      <c r="AW167" s="5">
        <v>42964.45</v>
      </c>
      <c r="AX167" s="5">
        <v>42964.45</v>
      </c>
      <c r="AY167" s="3">
        <v>884248.22</v>
      </c>
      <c r="AZ167" s="3">
        <v>1309085.29</v>
      </c>
      <c r="BC167" s="3">
        <v>48875.09</v>
      </c>
      <c r="BD167" s="3">
        <v>48875.09</v>
      </c>
      <c r="BG167" s="3">
        <v>668172.78</v>
      </c>
      <c r="BH167" s="3">
        <v>48875.09</v>
      </c>
    </row>
    <row r="168" spans="2:60" x14ac:dyDescent="0.2">
      <c r="B168" s="32" t="s">
        <v>110</v>
      </c>
      <c r="C168" s="33"/>
      <c r="D168" s="49" t="s">
        <v>137</v>
      </c>
      <c r="E168" s="35" t="s">
        <v>62</v>
      </c>
      <c r="F168" s="36">
        <v>0.13</v>
      </c>
      <c r="G168" s="37">
        <f t="shared" si="9"/>
        <v>2854513.27</v>
      </c>
      <c r="H168" s="37">
        <f t="shared" si="9"/>
        <v>2854513.27</v>
      </c>
      <c r="I168" s="38">
        <f t="shared" si="8"/>
        <v>0</v>
      </c>
      <c r="J168" s="66"/>
      <c r="K168" s="66"/>
      <c r="L168" s="66"/>
      <c r="M168" s="66"/>
      <c r="N168" s="66"/>
      <c r="O168" s="66"/>
      <c r="P168" s="96"/>
      <c r="Q168" s="66"/>
      <c r="R168" s="70"/>
      <c r="S168" s="70"/>
      <c r="AB168" s="5">
        <v>2854513.27</v>
      </c>
      <c r="AE168" s="5">
        <v>2854513.27</v>
      </c>
      <c r="AF168" s="5"/>
      <c r="AG168" s="5"/>
    </row>
    <row r="169" spans="2:60" x14ac:dyDescent="0.2">
      <c r="B169" s="32"/>
      <c r="C169" s="33"/>
      <c r="D169" s="95"/>
      <c r="E169" s="35" t="s">
        <v>63</v>
      </c>
      <c r="F169" s="36">
        <v>0.09</v>
      </c>
      <c r="G169" s="37">
        <f t="shared" si="9"/>
        <v>845504.59</v>
      </c>
      <c r="H169" s="37">
        <f t="shared" si="9"/>
        <v>845504.58</v>
      </c>
      <c r="I169" s="38">
        <f t="shared" si="8"/>
        <v>1.0000000009313226E-2</v>
      </c>
      <c r="J169" s="66"/>
      <c r="K169" s="66"/>
      <c r="L169" s="66"/>
      <c r="M169" s="66"/>
      <c r="N169" s="66"/>
      <c r="O169" s="66"/>
      <c r="P169" s="96"/>
      <c r="Q169" s="66"/>
      <c r="R169" s="70"/>
      <c r="S169" s="70"/>
      <c r="AB169" s="5">
        <v>845504.59</v>
      </c>
      <c r="AF169" s="5"/>
      <c r="AG169" s="5">
        <v>422752.29</v>
      </c>
      <c r="AX169" s="5">
        <v>422752.29</v>
      </c>
    </row>
    <row r="170" spans="2:60" x14ac:dyDescent="0.2">
      <c r="B170" s="32"/>
      <c r="C170" s="33"/>
      <c r="D170" s="51"/>
      <c r="E170" s="35" t="s">
        <v>64</v>
      </c>
      <c r="F170" s="36">
        <v>0.06</v>
      </c>
      <c r="G170" s="37">
        <f t="shared" si="9"/>
        <v>434716.98</v>
      </c>
      <c r="H170" s="37">
        <f t="shared" si="9"/>
        <v>434716.98</v>
      </c>
      <c r="I170" s="38">
        <f t="shared" si="8"/>
        <v>0</v>
      </c>
      <c r="J170" s="66"/>
      <c r="K170" s="66"/>
      <c r="L170" s="66"/>
      <c r="M170" s="66"/>
      <c r="N170" s="66"/>
      <c r="O170" s="66"/>
      <c r="P170" s="96"/>
      <c r="Q170" s="66"/>
      <c r="R170" s="70"/>
      <c r="S170" s="70"/>
      <c r="AB170" s="5">
        <v>434716.98</v>
      </c>
      <c r="AF170" s="5"/>
      <c r="AG170" s="5"/>
      <c r="AX170" s="5">
        <v>434716.98</v>
      </c>
    </row>
    <row r="171" spans="2:60" x14ac:dyDescent="0.2">
      <c r="B171" s="32" t="s">
        <v>110</v>
      </c>
      <c r="C171" s="33">
        <v>3009</v>
      </c>
      <c r="D171" s="49" t="s">
        <v>138</v>
      </c>
      <c r="E171" s="35" t="s">
        <v>62</v>
      </c>
      <c r="F171" s="36">
        <v>0.13</v>
      </c>
      <c r="G171" s="37">
        <f t="shared" si="9"/>
        <v>38522730.079999998</v>
      </c>
      <c r="H171" s="37">
        <f t="shared" si="9"/>
        <v>30438792.399999999</v>
      </c>
      <c r="I171" s="38">
        <f t="shared" si="8"/>
        <v>8083937.6799999997</v>
      </c>
      <c r="J171" s="66"/>
      <c r="K171" s="66"/>
      <c r="L171" s="66"/>
      <c r="M171" s="66"/>
      <c r="N171" s="66"/>
      <c r="O171" s="66"/>
      <c r="P171" s="96"/>
      <c r="Q171" s="66"/>
      <c r="R171" s="70"/>
      <c r="S171" s="70"/>
      <c r="AC171" s="5">
        <v>10182908.84</v>
      </c>
      <c r="AD171" s="5">
        <v>38522730.079999998</v>
      </c>
      <c r="AE171" s="5">
        <v>-10182908.84</v>
      </c>
      <c r="AF171" s="5"/>
      <c r="AG171" s="5"/>
      <c r="AK171" s="3">
        <v>30438792.399999999</v>
      </c>
    </row>
    <row r="172" spans="2:60" x14ac:dyDescent="0.2">
      <c r="B172" s="32"/>
      <c r="C172" s="33">
        <v>3009</v>
      </c>
      <c r="D172" s="95"/>
      <c r="E172" s="35" t="s">
        <v>63</v>
      </c>
      <c r="F172" s="36">
        <v>0.09</v>
      </c>
      <c r="G172" s="37">
        <f t="shared" si="9"/>
        <v>0</v>
      </c>
      <c r="H172" s="37">
        <f t="shared" si="9"/>
        <v>0</v>
      </c>
      <c r="I172" s="38">
        <f t="shared" si="8"/>
        <v>0</v>
      </c>
      <c r="J172" s="66"/>
      <c r="K172" s="66"/>
      <c r="L172" s="66"/>
      <c r="M172" s="66"/>
      <c r="N172" s="66"/>
      <c r="O172" s="66"/>
      <c r="P172" s="96"/>
      <c r="Q172" s="66"/>
      <c r="R172" s="70"/>
      <c r="S172" s="70"/>
      <c r="AF172" s="5"/>
      <c r="AG172" s="5"/>
    </row>
    <row r="173" spans="2:60" x14ac:dyDescent="0.2">
      <c r="B173" s="32"/>
      <c r="C173" s="33">
        <v>3009</v>
      </c>
      <c r="D173" s="51"/>
      <c r="E173" s="35" t="s">
        <v>64</v>
      </c>
      <c r="F173" s="36">
        <v>0.06</v>
      </c>
      <c r="G173" s="37">
        <f t="shared" si="9"/>
        <v>0</v>
      </c>
      <c r="H173" s="37">
        <f t="shared" si="9"/>
        <v>0</v>
      </c>
      <c r="I173" s="38">
        <f t="shared" si="8"/>
        <v>0</v>
      </c>
      <c r="J173" s="66"/>
      <c r="K173" s="66"/>
      <c r="L173" s="66"/>
      <c r="M173" s="66"/>
      <c r="N173" s="66"/>
      <c r="O173" s="66"/>
      <c r="P173" s="96"/>
      <c r="Q173" s="66"/>
      <c r="R173" s="70"/>
      <c r="S173" s="70"/>
      <c r="AF173" s="5"/>
      <c r="AG173" s="5"/>
    </row>
    <row r="174" spans="2:60" x14ac:dyDescent="0.2">
      <c r="B174" s="32" t="s">
        <v>65</v>
      </c>
      <c r="C174" s="33">
        <v>1000</v>
      </c>
      <c r="D174" s="49" t="s">
        <v>139</v>
      </c>
      <c r="E174" s="35" t="s">
        <v>62</v>
      </c>
      <c r="F174" s="36">
        <v>0.13</v>
      </c>
      <c r="G174" s="37">
        <f t="shared" si="9"/>
        <v>0</v>
      </c>
      <c r="H174" s="37">
        <f t="shared" si="9"/>
        <v>0</v>
      </c>
      <c r="I174" s="38">
        <f t="shared" si="8"/>
        <v>0</v>
      </c>
      <c r="J174" s="66"/>
      <c r="K174" s="66"/>
      <c r="L174" s="66"/>
      <c r="M174" s="66"/>
      <c r="N174" s="66"/>
      <c r="O174" s="66"/>
      <c r="P174" s="96"/>
      <c r="Q174" s="66"/>
      <c r="R174" s="70"/>
      <c r="S174" s="70"/>
      <c r="AF174" s="5"/>
      <c r="AG174" s="5"/>
    </row>
    <row r="175" spans="2:60" x14ac:dyDescent="0.2">
      <c r="B175" s="32"/>
      <c r="C175" s="33">
        <v>1000</v>
      </c>
      <c r="D175" s="95"/>
      <c r="E175" s="35" t="s">
        <v>63</v>
      </c>
      <c r="F175" s="36">
        <v>0.09</v>
      </c>
      <c r="G175" s="37">
        <f t="shared" si="9"/>
        <v>104768.17</v>
      </c>
      <c r="H175" s="37">
        <f t="shared" si="9"/>
        <v>104768.17</v>
      </c>
      <c r="I175" s="38">
        <f t="shared" si="8"/>
        <v>0</v>
      </c>
      <c r="J175" s="66"/>
      <c r="K175" s="66"/>
      <c r="L175" s="66"/>
      <c r="M175" s="66"/>
      <c r="N175" s="66"/>
      <c r="O175" s="66"/>
      <c r="P175" s="96"/>
      <c r="Q175" s="66"/>
      <c r="R175" s="70"/>
      <c r="S175" s="70"/>
      <c r="AD175" s="5">
        <v>104768.17</v>
      </c>
      <c r="AE175" s="5">
        <v>104768.17</v>
      </c>
      <c r="AF175" s="5"/>
      <c r="AG175" s="5"/>
    </row>
    <row r="176" spans="2:60" x14ac:dyDescent="0.2">
      <c r="B176" s="32"/>
      <c r="C176" s="33">
        <v>1000</v>
      </c>
      <c r="D176" s="51"/>
      <c r="E176" s="35" t="s">
        <v>64</v>
      </c>
      <c r="F176" s="36">
        <v>0.06</v>
      </c>
      <c r="G176" s="37">
        <f t="shared" si="9"/>
        <v>0</v>
      </c>
      <c r="H176" s="37">
        <f t="shared" si="9"/>
        <v>0</v>
      </c>
      <c r="I176" s="38">
        <f t="shared" si="8"/>
        <v>0</v>
      </c>
      <c r="J176" s="66"/>
      <c r="K176" s="66"/>
      <c r="L176" s="66"/>
      <c r="M176" s="66"/>
      <c r="N176" s="66"/>
      <c r="O176" s="66"/>
      <c r="P176" s="96"/>
      <c r="Q176" s="66"/>
      <c r="R176" s="70"/>
      <c r="S176" s="70"/>
      <c r="AF176" s="5"/>
      <c r="AG176" s="5"/>
    </row>
    <row r="177" spans="2:60" x14ac:dyDescent="0.2">
      <c r="B177" s="32" t="s">
        <v>65</v>
      </c>
      <c r="C177" s="33">
        <v>2060</v>
      </c>
      <c r="D177" s="49" t="s">
        <v>140</v>
      </c>
      <c r="E177" s="35" t="s">
        <v>62</v>
      </c>
      <c r="F177" s="36">
        <v>0.13</v>
      </c>
      <c r="G177" s="37">
        <f t="shared" si="9"/>
        <v>0</v>
      </c>
      <c r="H177" s="37">
        <f t="shared" si="9"/>
        <v>0</v>
      </c>
      <c r="I177" s="38">
        <f t="shared" si="8"/>
        <v>0</v>
      </c>
      <c r="J177" s="66"/>
      <c r="K177" s="66"/>
      <c r="L177" s="66"/>
      <c r="M177" s="66"/>
      <c r="N177" s="66"/>
      <c r="O177" s="66"/>
      <c r="P177" s="96"/>
      <c r="Q177" s="66"/>
      <c r="R177" s="70"/>
      <c r="S177" s="70"/>
      <c r="AF177" s="5"/>
      <c r="AG177" s="5"/>
    </row>
    <row r="178" spans="2:60" x14ac:dyDescent="0.2">
      <c r="B178" s="32"/>
      <c r="C178" s="33">
        <v>2060</v>
      </c>
      <c r="D178" s="95"/>
      <c r="E178" s="35" t="s">
        <v>63</v>
      </c>
      <c r="F178" s="36">
        <v>0.09</v>
      </c>
      <c r="G178" s="37">
        <f t="shared" si="9"/>
        <v>11215366.77</v>
      </c>
      <c r="H178" s="37">
        <f t="shared" si="9"/>
        <v>11215366.77</v>
      </c>
      <c r="I178" s="38">
        <f t="shared" si="8"/>
        <v>0</v>
      </c>
      <c r="J178" s="66"/>
      <c r="K178" s="66"/>
      <c r="L178" s="66"/>
      <c r="M178" s="66"/>
      <c r="N178" s="66"/>
      <c r="O178" s="66"/>
      <c r="P178" s="96"/>
      <c r="Q178" s="66"/>
      <c r="R178" s="70"/>
      <c r="S178" s="70"/>
      <c r="AD178" s="5">
        <v>4693173.04</v>
      </c>
      <c r="AE178" s="5">
        <v>4693173.04</v>
      </c>
      <c r="AF178" s="5"/>
      <c r="AG178" s="5"/>
      <c r="BG178" s="3">
        <v>6522193.7300000004</v>
      </c>
      <c r="BH178" s="3">
        <v>6522193.7300000004</v>
      </c>
    </row>
    <row r="179" spans="2:60" x14ac:dyDescent="0.2">
      <c r="B179" s="32"/>
      <c r="C179" s="33">
        <v>2060</v>
      </c>
      <c r="D179" s="51"/>
      <c r="E179" s="35" t="s">
        <v>64</v>
      </c>
      <c r="F179" s="36">
        <v>0.06</v>
      </c>
      <c r="G179" s="37">
        <f t="shared" si="9"/>
        <v>608226.83000000007</v>
      </c>
      <c r="H179" s="37">
        <f t="shared" si="9"/>
        <v>608226.83000000007</v>
      </c>
      <c r="I179" s="38">
        <f t="shared" si="8"/>
        <v>0</v>
      </c>
      <c r="J179" s="66"/>
      <c r="K179" s="66"/>
      <c r="L179" s="66"/>
      <c r="M179" s="66"/>
      <c r="N179" s="66"/>
      <c r="O179" s="66"/>
      <c r="P179" s="96"/>
      <c r="Q179" s="66"/>
      <c r="R179" s="70"/>
      <c r="S179" s="70"/>
      <c r="AD179" s="5">
        <v>99974.74</v>
      </c>
      <c r="AE179" s="5">
        <v>99974.74</v>
      </c>
      <c r="AF179" s="5"/>
      <c r="AG179" s="5"/>
      <c r="BG179" s="3">
        <v>508252.09</v>
      </c>
      <c r="BH179" s="3">
        <v>508252.09</v>
      </c>
    </row>
    <row r="180" spans="2:60" x14ac:dyDescent="0.2">
      <c r="B180" s="32" t="s">
        <v>65</v>
      </c>
      <c r="C180" s="33">
        <v>1000</v>
      </c>
      <c r="D180" s="49" t="s">
        <v>140</v>
      </c>
      <c r="E180" s="35" t="s">
        <v>62</v>
      </c>
      <c r="F180" s="36">
        <v>0.13</v>
      </c>
      <c r="G180" s="37">
        <f t="shared" si="9"/>
        <v>0</v>
      </c>
      <c r="H180" s="37">
        <f t="shared" si="9"/>
        <v>0</v>
      </c>
      <c r="I180" s="38"/>
      <c r="J180" s="66"/>
      <c r="K180" s="66"/>
      <c r="L180" s="66"/>
      <c r="M180" s="66"/>
      <c r="N180" s="66"/>
      <c r="O180" s="66"/>
      <c r="P180" s="96"/>
      <c r="Q180" s="66"/>
      <c r="R180" s="70"/>
      <c r="S180" s="70"/>
      <c r="AF180" s="5"/>
      <c r="AG180" s="5"/>
    </row>
    <row r="181" spans="2:60" x14ac:dyDescent="0.2">
      <c r="B181" s="32"/>
      <c r="C181" s="33">
        <v>1000</v>
      </c>
      <c r="D181" s="95"/>
      <c r="E181" s="35" t="s">
        <v>63</v>
      </c>
      <c r="F181" s="36">
        <v>0.09</v>
      </c>
      <c r="G181" s="37">
        <f t="shared" si="9"/>
        <v>10823032.560000001</v>
      </c>
      <c r="H181" s="37">
        <f t="shared" si="9"/>
        <v>10823032.560000001</v>
      </c>
      <c r="I181" s="38"/>
      <c r="J181" s="66"/>
      <c r="K181" s="66"/>
      <c r="L181" s="66"/>
      <c r="M181" s="66"/>
      <c r="N181" s="66"/>
      <c r="O181" s="66"/>
      <c r="P181" s="96"/>
      <c r="Q181" s="66"/>
      <c r="R181" s="70"/>
      <c r="S181" s="70"/>
      <c r="AF181" s="5"/>
      <c r="AG181" s="5"/>
      <c r="BG181" s="3">
        <v>10823032.560000001</v>
      </c>
      <c r="BH181" s="3">
        <v>10823032.560000001</v>
      </c>
    </row>
    <row r="182" spans="2:60" x14ac:dyDescent="0.2">
      <c r="B182" s="32"/>
      <c r="C182" s="33">
        <v>1000</v>
      </c>
      <c r="D182" s="51"/>
      <c r="E182" s="35" t="s">
        <v>64</v>
      </c>
      <c r="F182" s="36">
        <v>0.06</v>
      </c>
      <c r="G182" s="37">
        <f t="shared" si="9"/>
        <v>843564.88</v>
      </c>
      <c r="H182" s="37">
        <f t="shared" si="9"/>
        <v>843564.88</v>
      </c>
      <c r="I182" s="38"/>
      <c r="J182" s="66"/>
      <c r="K182" s="66"/>
      <c r="L182" s="66"/>
      <c r="M182" s="66"/>
      <c r="N182" s="66"/>
      <c r="O182" s="66"/>
      <c r="P182" s="96"/>
      <c r="Q182" s="66"/>
      <c r="R182" s="70"/>
      <c r="S182" s="70"/>
      <c r="AF182" s="5"/>
      <c r="AG182" s="5"/>
      <c r="BG182" s="3">
        <v>843564.88</v>
      </c>
      <c r="BH182" s="3">
        <v>843564.88</v>
      </c>
    </row>
    <row r="183" spans="2:60" x14ac:dyDescent="0.2">
      <c r="B183" s="32" t="s">
        <v>65</v>
      </c>
      <c r="C183" s="33">
        <v>2260</v>
      </c>
      <c r="D183" s="49" t="s">
        <v>140</v>
      </c>
      <c r="E183" s="35" t="s">
        <v>62</v>
      </c>
      <c r="F183" s="36">
        <v>0.13</v>
      </c>
      <c r="G183" s="37">
        <f t="shared" si="9"/>
        <v>0</v>
      </c>
      <c r="H183" s="37">
        <f t="shared" si="9"/>
        <v>0</v>
      </c>
      <c r="I183" s="38"/>
      <c r="J183" s="66"/>
      <c r="K183" s="66"/>
      <c r="L183" s="66"/>
      <c r="M183" s="66"/>
      <c r="N183" s="66"/>
      <c r="O183" s="66"/>
      <c r="P183" s="96"/>
      <c r="Q183" s="66"/>
      <c r="R183" s="70"/>
      <c r="S183" s="70"/>
      <c r="AF183" s="5"/>
      <c r="AG183" s="5"/>
    </row>
    <row r="184" spans="2:60" x14ac:dyDescent="0.2">
      <c r="B184" s="32"/>
      <c r="C184" s="33">
        <v>2260</v>
      </c>
      <c r="D184" s="95"/>
      <c r="E184" s="35" t="s">
        <v>63</v>
      </c>
      <c r="F184" s="36">
        <v>0.09</v>
      </c>
      <c r="G184" s="37">
        <f t="shared" si="9"/>
        <v>4824387.34</v>
      </c>
      <c r="H184" s="37">
        <f t="shared" si="9"/>
        <v>4824387.34</v>
      </c>
      <c r="I184" s="38"/>
      <c r="J184" s="66"/>
      <c r="K184" s="66"/>
      <c r="L184" s="66"/>
      <c r="M184" s="66"/>
      <c r="N184" s="66"/>
      <c r="O184" s="66"/>
      <c r="P184" s="96"/>
      <c r="Q184" s="66"/>
      <c r="R184" s="70"/>
      <c r="S184" s="70"/>
      <c r="AF184" s="5"/>
      <c r="AG184" s="5"/>
      <c r="BG184" s="3">
        <v>4824387.34</v>
      </c>
      <c r="BH184" s="3">
        <v>4824387.34</v>
      </c>
    </row>
    <row r="185" spans="2:60" x14ac:dyDescent="0.2">
      <c r="B185" s="32"/>
      <c r="C185" s="33">
        <v>2260</v>
      </c>
      <c r="D185" s="51"/>
      <c r="E185" s="35" t="s">
        <v>64</v>
      </c>
      <c r="F185" s="36">
        <v>0.06</v>
      </c>
      <c r="G185" s="37">
        <f t="shared" si="9"/>
        <v>508252.09</v>
      </c>
      <c r="H185" s="37">
        <f t="shared" si="9"/>
        <v>508252.09</v>
      </c>
      <c r="I185" s="38"/>
      <c r="J185" s="66"/>
      <c r="K185" s="66"/>
      <c r="L185" s="66"/>
      <c r="M185" s="66"/>
      <c r="N185" s="66"/>
      <c r="O185" s="66"/>
      <c r="P185" s="96"/>
      <c r="Q185" s="66"/>
      <c r="R185" s="70"/>
      <c r="S185" s="70"/>
      <c r="AF185" s="5"/>
      <c r="AG185" s="5"/>
      <c r="BG185" s="3">
        <v>508252.09</v>
      </c>
      <c r="BH185" s="3">
        <v>508252.09</v>
      </c>
    </row>
    <row r="186" spans="2:60" x14ac:dyDescent="0.2">
      <c r="B186" s="32" t="s">
        <v>141</v>
      </c>
      <c r="C186" s="33"/>
      <c r="D186" s="49" t="s">
        <v>142</v>
      </c>
      <c r="E186" s="35" t="s">
        <v>62</v>
      </c>
      <c r="F186" s="36">
        <v>0.13</v>
      </c>
      <c r="G186" s="37">
        <f t="shared" si="9"/>
        <v>727950.78</v>
      </c>
      <c r="H186" s="37">
        <f t="shared" si="9"/>
        <v>74584.14</v>
      </c>
      <c r="I186" s="38">
        <f t="shared" ref="I186:I203" si="10">G186-H186</f>
        <v>653366.64</v>
      </c>
      <c r="J186" s="66"/>
      <c r="K186" s="66"/>
      <c r="L186" s="66"/>
      <c r="M186" s="66"/>
      <c r="N186" s="66"/>
      <c r="O186" s="66"/>
      <c r="P186" s="96"/>
      <c r="Q186" s="66"/>
      <c r="R186" s="70"/>
      <c r="S186" s="70"/>
      <c r="AD186" s="5">
        <v>704831.86</v>
      </c>
      <c r="AE186" s="5">
        <v>74584.14</v>
      </c>
      <c r="AF186" s="5"/>
      <c r="AG186" s="5"/>
      <c r="AL186" s="3">
        <v>23118.92</v>
      </c>
    </row>
    <row r="187" spans="2:60" x14ac:dyDescent="0.2">
      <c r="B187" s="32"/>
      <c r="C187" s="33"/>
      <c r="D187" s="95"/>
      <c r="E187" s="35" t="s">
        <v>63</v>
      </c>
      <c r="F187" s="36">
        <v>0.09</v>
      </c>
      <c r="G187" s="37">
        <f t="shared" si="9"/>
        <v>1394.51</v>
      </c>
      <c r="H187" s="37">
        <f t="shared" si="9"/>
        <v>0</v>
      </c>
      <c r="I187" s="38">
        <f t="shared" si="10"/>
        <v>1394.51</v>
      </c>
      <c r="J187" s="66"/>
      <c r="K187" s="66"/>
      <c r="L187" s="66"/>
      <c r="M187" s="66"/>
      <c r="N187" s="66"/>
      <c r="O187" s="66"/>
      <c r="P187" s="96"/>
      <c r="Q187" s="66"/>
      <c r="R187" s="70"/>
      <c r="S187" s="70"/>
      <c r="AD187" s="5">
        <v>0</v>
      </c>
      <c r="AE187" s="5">
        <v>0</v>
      </c>
      <c r="AF187" s="5"/>
      <c r="AG187" s="5"/>
      <c r="AL187" s="3">
        <v>1394.51</v>
      </c>
    </row>
    <row r="188" spans="2:60" x14ac:dyDescent="0.2">
      <c r="B188" s="32"/>
      <c r="C188" s="33"/>
      <c r="D188" s="51"/>
      <c r="E188" s="35" t="s">
        <v>64</v>
      </c>
      <c r="F188" s="36">
        <v>0.06</v>
      </c>
      <c r="G188" s="37">
        <f t="shared" si="9"/>
        <v>0</v>
      </c>
      <c r="H188" s="37">
        <f t="shared" si="9"/>
        <v>0</v>
      </c>
      <c r="I188" s="38">
        <f t="shared" si="10"/>
        <v>0</v>
      </c>
      <c r="J188" s="66"/>
      <c r="K188" s="66"/>
      <c r="L188" s="66"/>
      <c r="M188" s="66"/>
      <c r="N188" s="66"/>
      <c r="O188" s="66"/>
      <c r="P188" s="96"/>
      <c r="Q188" s="66"/>
      <c r="R188" s="70"/>
      <c r="S188" s="70"/>
      <c r="AF188" s="5"/>
      <c r="AG188" s="5"/>
    </row>
    <row r="189" spans="2:60" x14ac:dyDescent="0.2">
      <c r="B189" s="97"/>
      <c r="C189" s="33">
        <v>2056</v>
      </c>
      <c r="D189" s="49" t="s">
        <v>143</v>
      </c>
      <c r="E189" s="35" t="s">
        <v>62</v>
      </c>
      <c r="F189" s="36">
        <v>0.13</v>
      </c>
      <c r="G189" s="37">
        <f t="shared" si="9"/>
        <v>0</v>
      </c>
      <c r="H189" s="37">
        <f t="shared" si="9"/>
        <v>0</v>
      </c>
      <c r="I189" s="38">
        <f t="shared" si="10"/>
        <v>0</v>
      </c>
      <c r="J189" s="66"/>
      <c r="K189" s="66"/>
      <c r="L189" s="66"/>
      <c r="M189" s="66"/>
      <c r="N189" s="66"/>
      <c r="O189" s="66"/>
      <c r="P189" s="96"/>
      <c r="Q189" s="66"/>
      <c r="R189" s="70"/>
      <c r="S189" s="70"/>
      <c r="AF189" s="5"/>
      <c r="AG189" s="5"/>
    </row>
    <row r="190" spans="2:60" x14ac:dyDescent="0.2">
      <c r="B190" s="71"/>
      <c r="C190" s="33">
        <v>2056</v>
      </c>
      <c r="D190" s="44"/>
      <c r="E190" s="35" t="s">
        <v>63</v>
      </c>
      <c r="F190" s="36">
        <v>0.09</v>
      </c>
      <c r="G190" s="37">
        <f t="shared" si="9"/>
        <v>0</v>
      </c>
      <c r="H190" s="37">
        <f t="shared" si="9"/>
        <v>0</v>
      </c>
      <c r="I190" s="38">
        <f t="shared" si="10"/>
        <v>0</v>
      </c>
      <c r="J190" s="66"/>
      <c r="K190" s="66"/>
      <c r="L190" s="66"/>
      <c r="M190" s="66"/>
      <c r="N190" s="66"/>
      <c r="O190" s="66"/>
      <c r="P190" s="96"/>
      <c r="Q190" s="66"/>
      <c r="R190" s="70"/>
      <c r="S190" s="70"/>
      <c r="AF190" s="5"/>
      <c r="AG190" s="5"/>
    </row>
    <row r="191" spans="2:60" x14ac:dyDescent="0.2">
      <c r="B191" s="72"/>
      <c r="C191" s="33">
        <v>2056</v>
      </c>
      <c r="D191" s="45"/>
      <c r="E191" s="35" t="s">
        <v>64</v>
      </c>
      <c r="F191" s="36">
        <v>0.06</v>
      </c>
      <c r="G191" s="37">
        <f t="shared" si="9"/>
        <v>8639006.4299999997</v>
      </c>
      <c r="H191" s="37">
        <f t="shared" si="9"/>
        <v>7869485.8099999996</v>
      </c>
      <c r="I191" s="38">
        <f t="shared" si="10"/>
        <v>769520.62000000011</v>
      </c>
      <c r="J191" s="66"/>
      <c r="K191" s="66"/>
      <c r="L191" s="66"/>
      <c r="M191" s="66"/>
      <c r="N191" s="66"/>
      <c r="O191" s="66"/>
      <c r="P191" s="96"/>
      <c r="Q191" s="66"/>
      <c r="R191" s="70"/>
      <c r="S191" s="70"/>
      <c r="AF191" s="5"/>
      <c r="AG191" s="5"/>
      <c r="AH191" s="89">
        <v>570140.38</v>
      </c>
      <c r="AI191" s="89">
        <v>570140.38</v>
      </c>
      <c r="AJ191" s="3">
        <v>241181.97</v>
      </c>
      <c r="AK191" s="3">
        <v>241181.97</v>
      </c>
      <c r="AL191" s="3">
        <v>211393.76</v>
      </c>
      <c r="AM191" s="3">
        <v>136915.10999999999</v>
      </c>
      <c r="AN191" s="3">
        <v>231511.42</v>
      </c>
      <c r="AO191" s="3">
        <v>63681.23</v>
      </c>
      <c r="AP191" s="3">
        <v>2137189.5499999998</v>
      </c>
      <c r="AQ191" s="3">
        <v>1645739.52</v>
      </c>
      <c r="AR191" s="3">
        <v>3752837.21</v>
      </c>
      <c r="AS191" s="5">
        <v>3752837.21</v>
      </c>
      <c r="AU191" s="5">
        <v>532428.81999999995</v>
      </c>
      <c r="AV191" s="5">
        <v>106807.07</v>
      </c>
      <c r="AW191" s="5">
        <v>53705.41</v>
      </c>
      <c r="AX191" s="5">
        <v>53705.41</v>
      </c>
      <c r="AY191" s="3">
        <v>331801.03999999998</v>
      </c>
      <c r="AZ191" s="3">
        <v>176982.38</v>
      </c>
      <c r="BC191" s="3">
        <v>479961.52</v>
      </c>
      <c r="BD191" s="3">
        <v>61093.599999999999</v>
      </c>
      <c r="BG191" s="3">
        <v>96855.35</v>
      </c>
      <c r="BH191" s="3">
        <v>1060401.93</v>
      </c>
    </row>
    <row r="192" spans="2:60" x14ac:dyDescent="0.2">
      <c r="B192" s="55"/>
      <c r="C192" s="98" t="s">
        <v>144</v>
      </c>
      <c r="D192" s="94" t="s">
        <v>145</v>
      </c>
      <c r="E192" s="35" t="s">
        <v>62</v>
      </c>
      <c r="F192" s="36">
        <v>0.13</v>
      </c>
      <c r="G192" s="37">
        <f t="shared" si="9"/>
        <v>0</v>
      </c>
      <c r="H192" s="37">
        <f t="shared" si="9"/>
        <v>0</v>
      </c>
      <c r="I192" s="38">
        <f t="shared" si="10"/>
        <v>0</v>
      </c>
      <c r="J192" s="66"/>
      <c r="K192" s="66"/>
      <c r="L192" s="66"/>
      <c r="M192" s="66"/>
      <c r="N192" s="66"/>
      <c r="O192" s="66"/>
      <c r="P192" s="96"/>
      <c r="Q192" s="66"/>
      <c r="R192" s="70"/>
      <c r="S192" s="70"/>
      <c r="AF192" s="5"/>
      <c r="AG192" s="5"/>
      <c r="AH192" s="89"/>
      <c r="AI192" s="89"/>
    </row>
    <row r="193" spans="2:60" x14ac:dyDescent="0.2">
      <c r="B193" s="55"/>
      <c r="C193" s="98" t="s">
        <v>144</v>
      </c>
      <c r="D193" s="94"/>
      <c r="E193" s="35" t="s">
        <v>63</v>
      </c>
      <c r="F193" s="36">
        <v>0.09</v>
      </c>
      <c r="G193" s="37">
        <f t="shared" si="9"/>
        <v>0</v>
      </c>
      <c r="H193" s="37">
        <f t="shared" si="9"/>
        <v>0</v>
      </c>
      <c r="I193" s="38">
        <f t="shared" si="10"/>
        <v>0</v>
      </c>
      <c r="J193" s="66"/>
      <c r="K193" s="66"/>
      <c r="L193" s="66"/>
      <c r="M193" s="66"/>
      <c r="N193" s="66"/>
      <c r="O193" s="66"/>
      <c r="P193" s="96"/>
      <c r="Q193" s="66"/>
      <c r="R193" s="70"/>
      <c r="S193" s="70"/>
      <c r="AF193" s="5"/>
      <c r="AG193" s="5"/>
      <c r="AH193" s="89"/>
      <c r="AI193" s="89"/>
    </row>
    <row r="194" spans="2:60" x14ac:dyDescent="0.2">
      <c r="B194" s="55"/>
      <c r="C194" s="98" t="s">
        <v>144</v>
      </c>
      <c r="D194" s="94"/>
      <c r="E194" s="35" t="s">
        <v>64</v>
      </c>
      <c r="F194" s="36">
        <v>0.06</v>
      </c>
      <c r="G194" s="37">
        <f t="shared" si="9"/>
        <v>3967951.1100000003</v>
      </c>
      <c r="H194" s="37">
        <f t="shared" si="9"/>
        <v>3967951.11</v>
      </c>
      <c r="I194" s="38">
        <f t="shared" si="10"/>
        <v>0</v>
      </c>
      <c r="J194" s="66"/>
      <c r="K194" s="66"/>
      <c r="L194" s="66"/>
      <c r="M194" s="66"/>
      <c r="N194" s="66"/>
      <c r="O194" s="66"/>
      <c r="P194" s="96"/>
      <c r="Q194" s="66"/>
      <c r="R194" s="70"/>
      <c r="S194" s="70"/>
      <c r="AF194" s="5"/>
      <c r="AG194" s="5"/>
      <c r="AH194" s="89"/>
      <c r="AI194" s="89"/>
      <c r="AN194" s="3">
        <v>1001775.95</v>
      </c>
      <c r="AO194" s="3">
        <v>63681.23</v>
      </c>
      <c r="AP194" s="3">
        <v>65445.21</v>
      </c>
      <c r="AQ194" s="3">
        <v>65445.21</v>
      </c>
      <c r="AR194" s="3">
        <v>1474702.22</v>
      </c>
      <c r="AS194" s="5">
        <v>1003004.11</v>
      </c>
      <c r="AU194" s="5">
        <v>106807.07</v>
      </c>
      <c r="AV194" s="5">
        <v>106807.07</v>
      </c>
      <c r="AW194" s="5">
        <v>341441.26</v>
      </c>
      <c r="AX194" s="5">
        <v>53705.41</v>
      </c>
      <c r="AY194" s="3">
        <v>855592.2</v>
      </c>
      <c r="AZ194" s="3">
        <v>1615026.16</v>
      </c>
      <c r="BC194" s="3">
        <v>61093.599999999999</v>
      </c>
      <c r="BD194" s="3">
        <v>61093.599999999999</v>
      </c>
      <c r="BG194" s="3">
        <v>61093.599999999999</v>
      </c>
      <c r="BH194" s="3">
        <v>999188.32</v>
      </c>
    </row>
    <row r="195" spans="2:60" s="111" customFormat="1" x14ac:dyDescent="0.2">
      <c r="B195" s="99"/>
      <c r="C195" s="100" t="s">
        <v>146</v>
      </c>
      <c r="D195" s="101" t="s">
        <v>147</v>
      </c>
      <c r="E195" s="102" t="s">
        <v>62</v>
      </c>
      <c r="F195" s="103">
        <v>0.13</v>
      </c>
      <c r="G195" s="37">
        <f t="shared" si="9"/>
        <v>0</v>
      </c>
      <c r="H195" s="37">
        <f t="shared" si="9"/>
        <v>0</v>
      </c>
      <c r="I195" s="104">
        <f t="shared" si="10"/>
        <v>0</v>
      </c>
      <c r="J195" s="105"/>
      <c r="K195" s="105"/>
      <c r="L195" s="105"/>
      <c r="M195" s="105"/>
      <c r="N195" s="105"/>
      <c r="O195" s="105"/>
      <c r="P195" s="106"/>
      <c r="Q195" s="105"/>
      <c r="R195" s="107"/>
      <c r="S195" s="107"/>
      <c r="T195" s="108"/>
      <c r="U195" s="108"/>
      <c r="V195" s="109"/>
      <c r="W195" s="109"/>
      <c r="X195" s="109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10"/>
      <c r="AI195" s="110"/>
      <c r="AS195" s="108"/>
      <c r="AT195" s="108"/>
      <c r="AU195" s="108"/>
      <c r="AV195" s="108"/>
      <c r="AW195" s="108"/>
      <c r="AX195" s="108"/>
    </row>
    <row r="196" spans="2:60" s="111" customFormat="1" x14ac:dyDescent="0.2">
      <c r="B196" s="99"/>
      <c r="C196" s="100" t="s">
        <v>146</v>
      </c>
      <c r="D196" s="112"/>
      <c r="E196" s="102" t="s">
        <v>63</v>
      </c>
      <c r="F196" s="103">
        <v>0.09</v>
      </c>
      <c r="G196" s="37">
        <f t="shared" si="9"/>
        <v>0</v>
      </c>
      <c r="H196" s="37">
        <f t="shared" si="9"/>
        <v>0</v>
      </c>
      <c r="I196" s="104">
        <f t="shared" si="10"/>
        <v>0</v>
      </c>
      <c r="J196" s="105"/>
      <c r="K196" s="105"/>
      <c r="L196" s="105"/>
      <c r="M196" s="105"/>
      <c r="N196" s="105"/>
      <c r="O196" s="105"/>
      <c r="P196" s="106"/>
      <c r="Q196" s="105"/>
      <c r="R196" s="107"/>
      <c r="S196" s="107"/>
      <c r="T196" s="108"/>
      <c r="U196" s="108"/>
      <c r="V196" s="109"/>
      <c r="W196" s="109"/>
      <c r="X196" s="109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10"/>
      <c r="AI196" s="110"/>
      <c r="AS196" s="108"/>
      <c r="AT196" s="108"/>
      <c r="AU196" s="108"/>
      <c r="AV196" s="108"/>
      <c r="AW196" s="108"/>
      <c r="AX196" s="108"/>
    </row>
    <row r="197" spans="2:60" s="111" customFormat="1" x14ac:dyDescent="0.2">
      <c r="B197" s="99"/>
      <c r="C197" s="100" t="s">
        <v>146</v>
      </c>
      <c r="D197" s="113"/>
      <c r="E197" s="102" t="s">
        <v>64</v>
      </c>
      <c r="F197" s="103">
        <v>0.06</v>
      </c>
      <c r="G197" s="37">
        <f t="shared" si="9"/>
        <v>930017.53</v>
      </c>
      <c r="H197" s="37">
        <f t="shared" si="9"/>
        <v>930017.52999999991</v>
      </c>
      <c r="I197" s="104">
        <f t="shared" si="10"/>
        <v>0</v>
      </c>
      <c r="J197" s="105"/>
      <c r="K197" s="105"/>
      <c r="L197" s="105"/>
      <c r="M197" s="105"/>
      <c r="N197" s="105"/>
      <c r="O197" s="105"/>
      <c r="P197" s="106"/>
      <c r="Q197" s="105"/>
      <c r="R197" s="107"/>
      <c r="S197" s="107"/>
      <c r="T197" s="108"/>
      <c r="U197" s="108"/>
      <c r="V197" s="109"/>
      <c r="W197" s="109"/>
      <c r="X197" s="109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10"/>
      <c r="AI197" s="110"/>
      <c r="AN197" s="111">
        <v>930017.53</v>
      </c>
      <c r="AO197" s="111">
        <v>26477.58</v>
      </c>
      <c r="AS197" s="108"/>
      <c r="AT197" s="108"/>
      <c r="AU197" s="108"/>
      <c r="AV197" s="108"/>
      <c r="AW197" s="108"/>
      <c r="AX197" s="108"/>
      <c r="AZ197" s="111">
        <v>903539.95</v>
      </c>
    </row>
    <row r="198" spans="2:60" x14ac:dyDescent="0.2">
      <c r="B198" s="55"/>
      <c r="C198" s="98" t="s">
        <v>148</v>
      </c>
      <c r="D198" s="42" t="s">
        <v>149</v>
      </c>
      <c r="E198" s="35" t="s">
        <v>62</v>
      </c>
      <c r="F198" s="36">
        <v>0.13</v>
      </c>
      <c r="G198" s="37">
        <f t="shared" si="9"/>
        <v>0</v>
      </c>
      <c r="H198" s="37">
        <f t="shared" si="9"/>
        <v>0</v>
      </c>
      <c r="I198" s="38">
        <f t="shared" si="10"/>
        <v>0</v>
      </c>
      <c r="J198" s="66"/>
      <c r="K198" s="66"/>
      <c r="L198" s="66"/>
      <c r="M198" s="66"/>
      <c r="N198" s="66"/>
      <c r="O198" s="66"/>
      <c r="P198" s="96"/>
      <c r="Q198" s="66"/>
      <c r="R198" s="70"/>
      <c r="S198" s="70"/>
      <c r="AF198" s="5"/>
      <c r="AG198" s="5"/>
      <c r="AH198" s="89"/>
      <c r="AI198" s="89"/>
    </row>
    <row r="199" spans="2:60" x14ac:dyDescent="0.2">
      <c r="B199" s="55"/>
      <c r="C199" s="98" t="s">
        <v>148</v>
      </c>
      <c r="D199" s="44"/>
      <c r="E199" s="35" t="s">
        <v>63</v>
      </c>
      <c r="F199" s="36">
        <v>0.09</v>
      </c>
      <c r="G199" s="37">
        <f t="shared" si="9"/>
        <v>0</v>
      </c>
      <c r="H199" s="37">
        <f t="shared" si="9"/>
        <v>0</v>
      </c>
      <c r="I199" s="38">
        <f t="shared" si="10"/>
        <v>0</v>
      </c>
      <c r="J199" s="66"/>
      <c r="K199" s="66"/>
      <c r="L199" s="66"/>
      <c r="M199" s="66"/>
      <c r="N199" s="66"/>
      <c r="O199" s="66"/>
      <c r="P199" s="96"/>
      <c r="Q199" s="66"/>
      <c r="R199" s="70"/>
      <c r="S199" s="70"/>
      <c r="AF199" s="5"/>
      <c r="AG199" s="5"/>
      <c r="AH199" s="89"/>
      <c r="AI199" s="89"/>
    </row>
    <row r="200" spans="2:60" ht="12.95" customHeight="1" x14ac:dyDescent="0.2">
      <c r="B200" s="55"/>
      <c r="C200" s="98" t="s">
        <v>148</v>
      </c>
      <c r="D200" s="45"/>
      <c r="E200" s="35" t="s">
        <v>64</v>
      </c>
      <c r="F200" s="36">
        <v>0.06</v>
      </c>
      <c r="G200" s="37">
        <f t="shared" si="9"/>
        <v>1542125.1400000001</v>
      </c>
      <c r="H200" s="37">
        <f t="shared" si="9"/>
        <v>1542125.1400000001</v>
      </c>
      <c r="I200" s="38">
        <f t="shared" si="10"/>
        <v>0</v>
      </c>
      <c r="J200" s="66"/>
      <c r="K200" s="66"/>
      <c r="L200" s="66"/>
      <c r="M200" s="66"/>
      <c r="N200" s="66"/>
      <c r="O200" s="66"/>
      <c r="P200" s="96"/>
      <c r="Q200" s="66"/>
      <c r="R200" s="70"/>
      <c r="S200" s="70"/>
      <c r="AF200" s="5"/>
      <c r="AG200" s="5"/>
      <c r="AH200" s="89"/>
      <c r="AI200" s="89"/>
      <c r="AN200" s="3">
        <v>63681.23</v>
      </c>
      <c r="AO200" s="3">
        <v>63681.23</v>
      </c>
      <c r="AP200" s="3">
        <v>65445.21</v>
      </c>
      <c r="AQ200" s="3">
        <v>65445.21</v>
      </c>
      <c r="AR200" s="3">
        <v>83192.789999999994</v>
      </c>
      <c r="AS200" s="5">
        <v>83192.789999999994</v>
      </c>
      <c r="AU200" s="5">
        <v>106807.07</v>
      </c>
      <c r="AV200" s="5">
        <v>106807.07</v>
      </c>
      <c r="AW200" s="5">
        <v>53705.41</v>
      </c>
      <c r="AX200" s="5">
        <v>53705.41</v>
      </c>
      <c r="AY200" s="3">
        <v>1047106.23</v>
      </c>
      <c r="AZ200" s="3">
        <v>1047106.23</v>
      </c>
      <c r="BC200" s="3">
        <v>61093.599999999999</v>
      </c>
      <c r="BD200" s="3">
        <v>61093.599999999999</v>
      </c>
      <c r="BG200" s="3">
        <v>61093.599999999999</v>
      </c>
      <c r="BH200" s="3">
        <v>61093.599999999999</v>
      </c>
    </row>
    <row r="201" spans="2:60" x14ac:dyDescent="0.2">
      <c r="B201" s="55"/>
      <c r="C201" s="98" t="s">
        <v>150</v>
      </c>
      <c r="D201" s="42" t="s">
        <v>151</v>
      </c>
      <c r="E201" s="35" t="s">
        <v>62</v>
      </c>
      <c r="F201" s="36">
        <v>0.13</v>
      </c>
      <c r="G201" s="37">
        <f t="shared" si="9"/>
        <v>0</v>
      </c>
      <c r="H201" s="37">
        <f t="shared" si="9"/>
        <v>0</v>
      </c>
      <c r="I201" s="38">
        <f t="shared" si="10"/>
        <v>0</v>
      </c>
      <c r="J201" s="66"/>
      <c r="K201" s="66"/>
      <c r="L201" s="66"/>
      <c r="M201" s="66"/>
      <c r="N201" s="66"/>
      <c r="O201" s="66"/>
      <c r="P201" s="96"/>
      <c r="Q201" s="66"/>
      <c r="R201" s="70"/>
      <c r="S201" s="70"/>
      <c r="AF201" s="5"/>
      <c r="AG201" s="5"/>
      <c r="AH201" s="89"/>
      <c r="AI201" s="89"/>
    </row>
    <row r="202" spans="2:60" x14ac:dyDescent="0.2">
      <c r="B202" s="55"/>
      <c r="C202" s="98" t="s">
        <v>150</v>
      </c>
      <c r="D202" s="44"/>
      <c r="E202" s="35" t="s">
        <v>63</v>
      </c>
      <c r="F202" s="36">
        <v>0.09</v>
      </c>
      <c r="G202" s="37">
        <f t="shared" ref="G202:H265" si="11">SUM(J202,L202,N202,P202,R202,T202,V202,X202,Z202,AB202,AD202,AF202,AH202,AJ202,AL202,AN202,AP202,AR202,AU202,AW202,AY202,BC202,BG202)</f>
        <v>0</v>
      </c>
      <c r="H202" s="37">
        <f t="shared" si="11"/>
        <v>0</v>
      </c>
      <c r="I202" s="38">
        <f t="shared" si="10"/>
        <v>0</v>
      </c>
      <c r="J202" s="66"/>
      <c r="K202" s="66"/>
      <c r="L202" s="66"/>
      <c r="M202" s="66"/>
      <c r="N202" s="66"/>
      <c r="O202" s="66"/>
      <c r="P202" s="96"/>
      <c r="Q202" s="66"/>
      <c r="R202" s="70"/>
      <c r="S202" s="70"/>
      <c r="AF202" s="5"/>
      <c r="AG202" s="5"/>
      <c r="AH202" s="89"/>
      <c r="AI202" s="89"/>
    </row>
    <row r="203" spans="2:60" x14ac:dyDescent="0.2">
      <c r="B203" s="55"/>
      <c r="C203" s="98" t="s">
        <v>150</v>
      </c>
      <c r="D203" s="45"/>
      <c r="E203" s="35" t="s">
        <v>64</v>
      </c>
      <c r="F203" s="36">
        <v>0.06</v>
      </c>
      <c r="G203" s="37">
        <f t="shared" si="11"/>
        <v>1033483.74</v>
      </c>
      <c r="H203" s="37">
        <f t="shared" si="11"/>
        <v>1033483.74</v>
      </c>
      <c r="I203" s="38">
        <f t="shared" si="10"/>
        <v>0</v>
      </c>
      <c r="J203" s="66"/>
      <c r="K203" s="66"/>
      <c r="L203" s="66"/>
      <c r="M203" s="66"/>
      <c r="N203" s="66"/>
      <c r="O203" s="66"/>
      <c r="P203" s="96"/>
      <c r="Q203" s="66"/>
      <c r="R203" s="70"/>
      <c r="S203" s="70"/>
      <c r="AF203" s="5"/>
      <c r="AG203" s="5"/>
      <c r="AH203" s="89"/>
      <c r="AI203" s="89"/>
      <c r="AN203" s="3">
        <v>50944.98</v>
      </c>
      <c r="AO203" s="3">
        <v>50944.98</v>
      </c>
      <c r="AP203" s="3">
        <v>590167.62</v>
      </c>
      <c r="AQ203" s="3">
        <v>52356.18</v>
      </c>
      <c r="AR203" s="3">
        <v>66554.22</v>
      </c>
      <c r="AS203" s="5">
        <v>66554.22</v>
      </c>
      <c r="AU203" s="5">
        <v>85445.66</v>
      </c>
      <c r="AV203" s="5">
        <v>85445.66</v>
      </c>
      <c r="AW203" s="5">
        <v>42964.32</v>
      </c>
      <c r="AX203" s="5">
        <v>42964.32</v>
      </c>
      <c r="AY203" s="3">
        <v>99657.18</v>
      </c>
      <c r="AZ203" s="3">
        <v>99657.18</v>
      </c>
      <c r="BC203" s="3">
        <v>48874.879999999997</v>
      </c>
      <c r="BD203" s="3">
        <v>48874.879999999997</v>
      </c>
      <c r="BG203" s="3">
        <v>48874.879999999997</v>
      </c>
      <c r="BH203" s="3">
        <v>586686.31999999995</v>
      </c>
    </row>
    <row r="204" spans="2:60" x14ac:dyDescent="0.2">
      <c r="B204" s="55"/>
      <c r="C204" s="98" t="s">
        <v>152</v>
      </c>
      <c r="D204" s="42" t="s">
        <v>153</v>
      </c>
      <c r="E204" s="35" t="s">
        <v>62</v>
      </c>
      <c r="F204" s="36">
        <v>0.13</v>
      </c>
      <c r="G204" s="37">
        <f t="shared" si="11"/>
        <v>287990593.012743</v>
      </c>
      <c r="H204" s="37">
        <f t="shared" si="11"/>
        <v>0</v>
      </c>
      <c r="I204" s="38"/>
      <c r="J204" s="66"/>
      <c r="K204" s="66"/>
      <c r="L204" s="66"/>
      <c r="M204" s="66"/>
      <c r="N204" s="66"/>
      <c r="O204" s="66"/>
      <c r="P204" s="96"/>
      <c r="Q204" s="66"/>
      <c r="R204" s="70"/>
      <c r="S204" s="70"/>
      <c r="AF204" s="5"/>
      <c r="AG204" s="5"/>
      <c r="AH204" s="89"/>
      <c r="AI204" s="89"/>
      <c r="BC204" s="3">
        <v>83833095.810000002</v>
      </c>
      <c r="BG204" s="3">
        <v>204157497.20274299</v>
      </c>
    </row>
    <row r="205" spans="2:60" x14ac:dyDescent="0.2">
      <c r="B205" s="55"/>
      <c r="C205" s="98" t="s">
        <v>152</v>
      </c>
      <c r="D205" s="44"/>
      <c r="E205" s="35" t="s">
        <v>63</v>
      </c>
      <c r="F205" s="36">
        <v>0.09</v>
      </c>
      <c r="G205" s="37">
        <f t="shared" si="11"/>
        <v>118094498.37</v>
      </c>
      <c r="H205" s="37">
        <f t="shared" si="11"/>
        <v>0</v>
      </c>
      <c r="I205" s="38"/>
      <c r="J205" s="66"/>
      <c r="K205" s="66"/>
      <c r="L205" s="66"/>
      <c r="M205" s="66"/>
      <c r="N205" s="66"/>
      <c r="O205" s="66"/>
      <c r="P205" s="96"/>
      <c r="Q205" s="66"/>
      <c r="R205" s="70"/>
      <c r="S205" s="70"/>
      <c r="AF205" s="5"/>
      <c r="AG205" s="5"/>
      <c r="AH205" s="89"/>
      <c r="AI205" s="89"/>
      <c r="BC205" s="3">
        <v>42233055.869999997</v>
      </c>
      <c r="BG205" s="3">
        <v>75861442.5</v>
      </c>
    </row>
    <row r="206" spans="2:60" x14ac:dyDescent="0.2">
      <c r="B206" s="55"/>
      <c r="C206" s="98" t="s">
        <v>152</v>
      </c>
      <c r="D206" s="45"/>
      <c r="E206" s="35" t="s">
        <v>64</v>
      </c>
      <c r="F206" s="36">
        <v>0.06</v>
      </c>
      <c r="G206" s="37">
        <f t="shared" si="11"/>
        <v>25668628.870000001</v>
      </c>
      <c r="H206" s="37">
        <f t="shared" si="11"/>
        <v>97749.759999999995</v>
      </c>
      <c r="I206" s="38"/>
      <c r="J206" s="66"/>
      <c r="K206" s="66"/>
      <c r="L206" s="66"/>
      <c r="M206" s="66"/>
      <c r="N206" s="66"/>
      <c r="O206" s="66"/>
      <c r="P206" s="96"/>
      <c r="Q206" s="66"/>
      <c r="R206" s="70"/>
      <c r="S206" s="70"/>
      <c r="AF206" s="5"/>
      <c r="AG206" s="5"/>
      <c r="AH206" s="89"/>
      <c r="AI206" s="89"/>
      <c r="BC206" s="3">
        <v>1318470.0900000001</v>
      </c>
      <c r="BD206" s="3">
        <v>48874.879999999997</v>
      </c>
      <c r="BG206" s="3">
        <v>24350158.780000001</v>
      </c>
      <c r="BH206" s="3">
        <v>48874.879999999997</v>
      </c>
    </row>
    <row r="207" spans="2:60" x14ac:dyDescent="0.2">
      <c r="B207" s="55"/>
      <c r="C207" s="98" t="s">
        <v>152</v>
      </c>
      <c r="D207" s="42" t="s">
        <v>154</v>
      </c>
      <c r="E207" s="35" t="s">
        <v>62</v>
      </c>
      <c r="F207" s="36">
        <v>0.13</v>
      </c>
      <c r="G207" s="37">
        <f t="shared" si="11"/>
        <v>40438155.660000004</v>
      </c>
      <c r="H207" s="37">
        <f t="shared" si="11"/>
        <v>0</v>
      </c>
      <c r="I207" s="38">
        <f t="shared" ref="I207:I270" si="12">G207-H207</f>
        <v>40438155.660000004</v>
      </c>
      <c r="J207" s="66"/>
      <c r="K207" s="66"/>
      <c r="L207" s="66"/>
      <c r="M207" s="66"/>
      <c r="N207" s="66"/>
      <c r="O207" s="66"/>
      <c r="P207" s="96"/>
      <c r="Q207" s="66"/>
      <c r="R207" s="70"/>
      <c r="S207" s="70"/>
      <c r="AF207" s="5"/>
      <c r="AG207" s="5"/>
      <c r="AH207" s="89"/>
      <c r="AI207" s="89"/>
      <c r="AW207" s="5">
        <v>7281581.8799999999</v>
      </c>
      <c r="AX207" s="5">
        <v>7281581.8799999999</v>
      </c>
      <c r="AY207" s="3">
        <v>33156573.780000001</v>
      </c>
      <c r="AZ207" s="3">
        <v>-7281581.8799999999</v>
      </c>
    </row>
    <row r="208" spans="2:60" x14ac:dyDescent="0.2">
      <c r="B208" s="55"/>
      <c r="C208" s="98" t="s">
        <v>152</v>
      </c>
      <c r="D208" s="44"/>
      <c r="E208" s="35" t="s">
        <v>63</v>
      </c>
      <c r="F208" s="36">
        <v>0.09</v>
      </c>
      <c r="G208" s="37">
        <f t="shared" si="11"/>
        <v>45365755.369999997</v>
      </c>
      <c r="H208" s="37">
        <f t="shared" si="11"/>
        <v>61719178.109999999</v>
      </c>
      <c r="I208" s="38">
        <f t="shared" si="12"/>
        <v>-16353422.740000002</v>
      </c>
      <c r="J208" s="66"/>
      <c r="K208" s="66"/>
      <c r="L208" s="66"/>
      <c r="M208" s="66"/>
      <c r="N208" s="66"/>
      <c r="O208" s="66"/>
      <c r="P208" s="96"/>
      <c r="Q208" s="66"/>
      <c r="R208" s="70"/>
      <c r="S208" s="70"/>
      <c r="AF208" s="5"/>
      <c r="AG208" s="5"/>
      <c r="AH208" s="89"/>
      <c r="AI208" s="89"/>
      <c r="AW208" s="5">
        <v>28522969.809999999</v>
      </c>
      <c r="AY208" s="3">
        <v>16842785.559999999</v>
      </c>
      <c r="AZ208" s="3">
        <v>61719178.109999999</v>
      </c>
    </row>
    <row r="209" spans="2:60" x14ac:dyDescent="0.2">
      <c r="B209" s="55"/>
      <c r="C209" s="98" t="s">
        <v>152</v>
      </c>
      <c r="D209" s="45"/>
      <c r="E209" s="35" t="s">
        <v>64</v>
      </c>
      <c r="F209" s="36">
        <v>0.06</v>
      </c>
      <c r="G209" s="37">
        <f t="shared" si="11"/>
        <v>39408586.500000007</v>
      </c>
      <c r="H209" s="37">
        <f t="shared" si="11"/>
        <v>36780396.68</v>
      </c>
      <c r="I209" s="38">
        <f t="shared" si="12"/>
        <v>2628189.8200000077</v>
      </c>
      <c r="J209" s="66"/>
      <c r="K209" s="66"/>
      <c r="L209" s="66"/>
      <c r="M209" s="66"/>
      <c r="N209" s="66"/>
      <c r="O209" s="66"/>
      <c r="P209" s="96"/>
      <c r="Q209" s="66"/>
      <c r="R209" s="70"/>
      <c r="S209" s="70"/>
      <c r="AF209" s="5"/>
      <c r="AG209" s="5"/>
      <c r="AH209" s="89"/>
      <c r="AI209" s="89"/>
      <c r="AN209" s="3">
        <v>50944.98</v>
      </c>
      <c r="AO209" s="3">
        <v>50944.98</v>
      </c>
      <c r="AP209" s="3">
        <v>711732.84</v>
      </c>
      <c r="AQ209" s="3">
        <v>52356.18</v>
      </c>
      <c r="AR209" s="3">
        <v>66554.22</v>
      </c>
      <c r="AS209" s="5">
        <v>66554.22</v>
      </c>
      <c r="AW209" s="5">
        <v>35762736.560000002</v>
      </c>
      <c r="AX209" s="5">
        <v>8768586</v>
      </c>
      <c r="AY209" s="3">
        <v>2767743.02</v>
      </c>
      <c r="AZ209" s="3">
        <v>27841955.300000001</v>
      </c>
      <c r="BC209" s="3">
        <v>48874.879999999997</v>
      </c>
    </row>
    <row r="210" spans="2:60" x14ac:dyDescent="0.2">
      <c r="B210" s="55"/>
      <c r="C210" s="33" t="s">
        <v>155</v>
      </c>
      <c r="D210" s="42" t="s">
        <v>156</v>
      </c>
      <c r="E210" s="35" t="s">
        <v>62</v>
      </c>
      <c r="F210" s="36">
        <v>0.13</v>
      </c>
      <c r="G210" s="37">
        <f t="shared" si="11"/>
        <v>0</v>
      </c>
      <c r="H210" s="37">
        <f t="shared" si="11"/>
        <v>0</v>
      </c>
      <c r="I210" s="38">
        <f t="shared" si="12"/>
        <v>0</v>
      </c>
      <c r="J210" s="66"/>
      <c r="K210" s="66"/>
      <c r="L210" s="66"/>
      <c r="M210" s="66"/>
      <c r="N210" s="66"/>
      <c r="O210" s="66"/>
      <c r="P210" s="96"/>
      <c r="Q210" s="66"/>
      <c r="R210" s="70"/>
      <c r="S210" s="70"/>
      <c r="AF210" s="5"/>
      <c r="AG210" s="5"/>
      <c r="AH210" s="89"/>
      <c r="AI210" s="89"/>
    </row>
    <row r="211" spans="2:60" x14ac:dyDescent="0.2">
      <c r="B211" s="55"/>
      <c r="C211" s="33" t="s">
        <v>155</v>
      </c>
      <c r="D211" s="44"/>
      <c r="E211" s="35" t="s">
        <v>63</v>
      </c>
      <c r="F211" s="36">
        <v>0.09</v>
      </c>
      <c r="G211" s="37">
        <f t="shared" si="11"/>
        <v>0</v>
      </c>
      <c r="H211" s="37">
        <f t="shared" si="11"/>
        <v>0</v>
      </c>
      <c r="I211" s="38">
        <f t="shared" si="12"/>
        <v>0</v>
      </c>
      <c r="J211" s="66"/>
      <c r="K211" s="66"/>
      <c r="L211" s="66"/>
      <c r="M211" s="66"/>
      <c r="N211" s="66"/>
      <c r="O211" s="66"/>
      <c r="P211" s="96"/>
      <c r="Q211" s="66"/>
      <c r="R211" s="70"/>
      <c r="S211" s="70"/>
      <c r="AF211" s="5"/>
      <c r="AG211" s="5"/>
      <c r="AH211" s="89"/>
      <c r="AI211" s="89"/>
    </row>
    <row r="212" spans="2:60" x14ac:dyDescent="0.2">
      <c r="B212" s="55"/>
      <c r="C212" s="33" t="s">
        <v>155</v>
      </c>
      <c r="D212" s="45"/>
      <c r="E212" s="35" t="s">
        <v>64</v>
      </c>
      <c r="F212" s="36">
        <v>0.06</v>
      </c>
      <c r="G212" s="37">
        <f t="shared" si="11"/>
        <v>521497.58</v>
      </c>
      <c r="H212" s="37">
        <f t="shared" si="11"/>
        <v>521497.58</v>
      </c>
      <c r="I212" s="38">
        <f t="shared" si="12"/>
        <v>0</v>
      </c>
      <c r="J212" s="66"/>
      <c r="K212" s="66"/>
      <c r="L212" s="66"/>
      <c r="M212" s="66"/>
      <c r="N212" s="66"/>
      <c r="O212" s="66"/>
      <c r="P212" s="96"/>
      <c r="Q212" s="66"/>
      <c r="R212" s="70"/>
      <c r="S212" s="70"/>
      <c r="AF212" s="5"/>
      <c r="AG212" s="5"/>
      <c r="AH212" s="89"/>
      <c r="AI212" s="89"/>
      <c r="AN212" s="3">
        <v>63681.23</v>
      </c>
      <c r="AO212" s="3">
        <v>63681.23</v>
      </c>
      <c r="AP212" s="3">
        <v>65445.21</v>
      </c>
      <c r="AQ212" s="3">
        <v>65445.21</v>
      </c>
      <c r="AR212" s="3">
        <v>66554.22</v>
      </c>
      <c r="AS212" s="5">
        <v>66554.22</v>
      </c>
      <c r="AU212" s="5">
        <v>85445.66</v>
      </c>
      <c r="AV212" s="5">
        <v>85445.66</v>
      </c>
      <c r="AW212" s="5">
        <v>42964.32</v>
      </c>
      <c r="AX212" s="5">
        <v>42964.32</v>
      </c>
      <c r="AY212" s="3">
        <v>99657.18</v>
      </c>
      <c r="AZ212" s="3">
        <v>99657.18</v>
      </c>
      <c r="BC212" s="3">
        <v>48874.879999999997</v>
      </c>
      <c r="BD212" s="3">
        <v>48874.879999999997</v>
      </c>
      <c r="BG212" s="3">
        <v>48874.879999999997</v>
      </c>
      <c r="BH212" s="3">
        <v>48874.879999999997</v>
      </c>
    </row>
    <row r="213" spans="2:60" x14ac:dyDescent="0.2">
      <c r="B213" s="73"/>
      <c r="C213" s="33">
        <v>4303</v>
      </c>
      <c r="D213" s="44" t="s">
        <v>157</v>
      </c>
      <c r="E213" s="35" t="s">
        <v>62</v>
      </c>
      <c r="F213" s="36">
        <v>0.13</v>
      </c>
      <c r="G213" s="37">
        <f t="shared" si="11"/>
        <v>0</v>
      </c>
      <c r="H213" s="37">
        <f t="shared" si="11"/>
        <v>0</v>
      </c>
      <c r="I213" s="38">
        <f t="shared" si="12"/>
        <v>0</v>
      </c>
      <c r="J213" s="66"/>
      <c r="K213" s="66"/>
      <c r="L213" s="66"/>
      <c r="M213" s="66"/>
      <c r="N213" s="66"/>
      <c r="O213" s="66"/>
      <c r="P213" s="96"/>
      <c r="Q213" s="66"/>
      <c r="R213" s="70"/>
      <c r="S213" s="70"/>
      <c r="AF213" s="5"/>
      <c r="AG213" s="5"/>
      <c r="AH213" s="89"/>
      <c r="AI213" s="89"/>
    </row>
    <row r="214" spans="2:60" x14ac:dyDescent="0.2">
      <c r="B214" s="114"/>
      <c r="C214" s="33">
        <v>4303</v>
      </c>
      <c r="D214" s="44"/>
      <c r="E214" s="35" t="s">
        <v>63</v>
      </c>
      <c r="F214" s="36">
        <v>0.09</v>
      </c>
      <c r="G214" s="37">
        <f t="shared" si="11"/>
        <v>0</v>
      </c>
      <c r="H214" s="37">
        <f t="shared" si="11"/>
        <v>0</v>
      </c>
      <c r="I214" s="38">
        <f t="shared" si="12"/>
        <v>0</v>
      </c>
      <c r="J214" s="66"/>
      <c r="K214" s="66"/>
      <c r="L214" s="66"/>
      <c r="M214" s="66"/>
      <c r="N214" s="66"/>
      <c r="O214" s="66"/>
      <c r="P214" s="96"/>
      <c r="Q214" s="66"/>
      <c r="R214" s="70"/>
      <c r="S214" s="70"/>
      <c r="AF214" s="5"/>
      <c r="AG214" s="5"/>
      <c r="AH214" s="89"/>
      <c r="AI214" s="89"/>
    </row>
    <row r="215" spans="2:60" ht="12.95" customHeight="1" x14ac:dyDescent="0.2">
      <c r="B215" s="91"/>
      <c r="C215" s="33">
        <v>4303</v>
      </c>
      <c r="D215" s="44"/>
      <c r="E215" s="35" t="s">
        <v>64</v>
      </c>
      <c r="F215" s="36">
        <v>0.06</v>
      </c>
      <c r="G215" s="37">
        <f t="shared" si="11"/>
        <v>197102.3</v>
      </c>
      <c r="H215" s="37">
        <f t="shared" si="11"/>
        <v>115169.62</v>
      </c>
      <c r="I215" s="38">
        <f t="shared" si="12"/>
        <v>81932.679999999993</v>
      </c>
      <c r="J215" s="66"/>
      <c r="K215" s="66"/>
      <c r="L215" s="66"/>
      <c r="M215" s="66"/>
      <c r="N215" s="66"/>
      <c r="O215" s="66"/>
      <c r="P215" s="96"/>
      <c r="Q215" s="66"/>
      <c r="R215" s="70"/>
      <c r="S215" s="70"/>
      <c r="AF215" s="5"/>
      <c r="AG215" s="5"/>
      <c r="AH215" s="89"/>
      <c r="AI215" s="89"/>
      <c r="AR215" s="3">
        <v>37402.410000000003</v>
      </c>
      <c r="AU215" s="5">
        <v>44530.27</v>
      </c>
      <c r="AW215" s="5">
        <v>23418.25</v>
      </c>
      <c r="AX215" s="5">
        <v>23418.25</v>
      </c>
      <c r="AY215" s="3">
        <v>91751.37</v>
      </c>
      <c r="AZ215" s="3">
        <v>91751.37</v>
      </c>
    </row>
    <row r="216" spans="2:60" x14ac:dyDescent="0.2">
      <c r="B216" s="55"/>
      <c r="C216" s="39">
        <v>4302</v>
      </c>
      <c r="D216" s="42" t="s">
        <v>158</v>
      </c>
      <c r="E216" s="35" t="s">
        <v>62</v>
      </c>
      <c r="F216" s="36">
        <v>0.13</v>
      </c>
      <c r="G216" s="37">
        <f t="shared" si="11"/>
        <v>0</v>
      </c>
      <c r="H216" s="37">
        <f t="shared" si="11"/>
        <v>0</v>
      </c>
      <c r="I216" s="38">
        <f t="shared" si="12"/>
        <v>0</v>
      </c>
      <c r="J216" s="66"/>
      <c r="K216" s="66"/>
      <c r="L216" s="66"/>
      <c r="M216" s="66"/>
      <c r="N216" s="66"/>
      <c r="O216" s="66"/>
      <c r="P216" s="96"/>
      <c r="Q216" s="66"/>
      <c r="R216" s="70"/>
      <c r="S216" s="70"/>
      <c r="AF216" s="5"/>
      <c r="AG216" s="5"/>
      <c r="AH216" s="89"/>
      <c r="AI216" s="89"/>
    </row>
    <row r="217" spans="2:60" x14ac:dyDescent="0.2">
      <c r="B217" s="55"/>
      <c r="C217" s="39">
        <v>4302</v>
      </c>
      <c r="D217" s="44"/>
      <c r="E217" s="35" t="s">
        <v>63</v>
      </c>
      <c r="F217" s="36">
        <v>0.09</v>
      </c>
      <c r="G217" s="37">
        <f t="shared" si="11"/>
        <v>0</v>
      </c>
      <c r="H217" s="37">
        <f t="shared" si="11"/>
        <v>0</v>
      </c>
      <c r="I217" s="38">
        <f t="shared" si="12"/>
        <v>0</v>
      </c>
      <c r="J217" s="66"/>
      <c r="K217" s="66"/>
      <c r="L217" s="66"/>
      <c r="M217" s="66"/>
      <c r="N217" s="66"/>
      <c r="O217" s="66"/>
      <c r="P217" s="96"/>
      <c r="Q217" s="66"/>
      <c r="R217" s="70"/>
      <c r="S217" s="70"/>
      <c r="AF217" s="5"/>
      <c r="AG217" s="5"/>
      <c r="AH217" s="89"/>
      <c r="AI217" s="89"/>
    </row>
    <row r="218" spans="2:60" x14ac:dyDescent="0.2">
      <c r="B218" s="55"/>
      <c r="C218" s="39">
        <v>4302</v>
      </c>
      <c r="D218" s="45"/>
      <c r="E218" s="35" t="s">
        <v>64</v>
      </c>
      <c r="F218" s="36">
        <v>0.06</v>
      </c>
      <c r="G218" s="37">
        <f t="shared" si="11"/>
        <v>1063369.8700000001</v>
      </c>
      <c r="H218" s="37">
        <f t="shared" si="11"/>
        <v>1063369.8700000001</v>
      </c>
      <c r="I218" s="38">
        <f t="shared" si="12"/>
        <v>0</v>
      </c>
      <c r="J218" s="66"/>
      <c r="K218" s="66"/>
      <c r="L218" s="66"/>
      <c r="M218" s="66"/>
      <c r="N218" s="66"/>
      <c r="O218" s="66"/>
      <c r="P218" s="96"/>
      <c r="Q218" s="66"/>
      <c r="R218" s="70"/>
      <c r="S218" s="70"/>
      <c r="AF218" s="5"/>
      <c r="AG218" s="5"/>
      <c r="AH218" s="89"/>
      <c r="AI218" s="89"/>
      <c r="AN218" s="3">
        <v>63681.23</v>
      </c>
      <c r="AO218" s="3">
        <v>63681.23</v>
      </c>
      <c r="AP218" s="3">
        <v>65445.21</v>
      </c>
      <c r="AQ218" s="3">
        <v>65445.21</v>
      </c>
      <c r="AR218" s="3">
        <v>526972.28</v>
      </c>
      <c r="AS218" s="5">
        <v>526972.28</v>
      </c>
      <c r="AU218" s="5">
        <v>106807.07</v>
      </c>
      <c r="AV218" s="5">
        <v>106807.07</v>
      </c>
      <c r="AW218" s="5">
        <v>53705.41</v>
      </c>
      <c r="AX218" s="5">
        <v>53705.41</v>
      </c>
      <c r="AY218" s="3">
        <v>124571.47</v>
      </c>
      <c r="AZ218" s="3">
        <v>124571.47</v>
      </c>
      <c r="BC218" s="3">
        <v>61093.599999999999</v>
      </c>
      <c r="BD218" s="3">
        <v>61093.599999999999</v>
      </c>
      <c r="BG218" s="3">
        <v>61093.599999999999</v>
      </c>
      <c r="BH218" s="3">
        <v>61093.599999999999</v>
      </c>
    </row>
    <row r="219" spans="2:60" x14ac:dyDescent="0.2">
      <c r="B219" s="73"/>
      <c r="C219" s="39">
        <v>4312</v>
      </c>
      <c r="D219" s="42" t="s">
        <v>159</v>
      </c>
      <c r="E219" s="35" t="s">
        <v>62</v>
      </c>
      <c r="F219" s="36">
        <v>0.13</v>
      </c>
      <c r="G219" s="37">
        <f t="shared" si="11"/>
        <v>0</v>
      </c>
      <c r="H219" s="37">
        <f t="shared" si="11"/>
        <v>0</v>
      </c>
      <c r="I219" s="38">
        <f t="shared" si="12"/>
        <v>0</v>
      </c>
      <c r="J219" s="66"/>
      <c r="K219" s="66"/>
      <c r="L219" s="66"/>
      <c r="M219" s="66"/>
      <c r="N219" s="66"/>
      <c r="O219" s="66"/>
      <c r="P219" s="96"/>
      <c r="Q219" s="66"/>
      <c r="R219" s="70"/>
      <c r="S219" s="70"/>
      <c r="AF219" s="5"/>
      <c r="AG219" s="5"/>
      <c r="AH219" s="89"/>
      <c r="AI219" s="89"/>
    </row>
    <row r="220" spans="2:60" x14ac:dyDescent="0.2">
      <c r="B220" s="114"/>
      <c r="C220" s="39">
        <v>4312</v>
      </c>
      <c r="D220" s="44"/>
      <c r="E220" s="35" t="s">
        <v>63</v>
      </c>
      <c r="F220" s="36">
        <v>0.09</v>
      </c>
      <c r="G220" s="37">
        <f t="shared" si="11"/>
        <v>0</v>
      </c>
      <c r="H220" s="37">
        <f t="shared" si="11"/>
        <v>0</v>
      </c>
      <c r="I220" s="38">
        <f t="shared" si="12"/>
        <v>0</v>
      </c>
      <c r="J220" s="66"/>
      <c r="K220" s="66"/>
      <c r="L220" s="66"/>
      <c r="M220" s="66"/>
      <c r="N220" s="66"/>
      <c r="O220" s="66"/>
      <c r="P220" s="96"/>
      <c r="Q220" s="66"/>
      <c r="R220" s="70"/>
      <c r="S220" s="70"/>
      <c r="AF220" s="5"/>
      <c r="AG220" s="5"/>
      <c r="AH220" s="89"/>
      <c r="AI220" s="89"/>
    </row>
    <row r="221" spans="2:60" x14ac:dyDescent="0.2">
      <c r="B221" s="91"/>
      <c r="C221" s="39">
        <v>4312</v>
      </c>
      <c r="D221" s="45"/>
      <c r="E221" s="35" t="s">
        <v>64</v>
      </c>
      <c r="F221" s="36">
        <v>0.06</v>
      </c>
      <c r="G221" s="37">
        <f t="shared" si="11"/>
        <v>619590.37999999989</v>
      </c>
      <c r="H221" s="37">
        <f t="shared" si="11"/>
        <v>967643.56999999983</v>
      </c>
      <c r="I221" s="38">
        <f t="shared" si="12"/>
        <v>-348053.18999999994</v>
      </c>
      <c r="J221" s="66"/>
      <c r="K221" s="66"/>
      <c r="L221" s="66"/>
      <c r="M221" s="66"/>
      <c r="N221" s="66"/>
      <c r="O221" s="66"/>
      <c r="P221" s="96"/>
      <c r="Q221" s="66"/>
      <c r="R221" s="70"/>
      <c r="S221" s="70"/>
      <c r="AF221" s="5"/>
      <c r="AG221" s="5"/>
      <c r="AH221" s="89"/>
      <c r="AI221" s="89"/>
      <c r="AN221" s="3">
        <v>63681.23</v>
      </c>
      <c r="AO221" s="3">
        <v>63681.23</v>
      </c>
      <c r="AP221" s="3">
        <v>65445.21</v>
      </c>
      <c r="AQ221" s="3">
        <v>65445.21</v>
      </c>
      <c r="AR221" s="3">
        <v>83192.789999999994</v>
      </c>
      <c r="AS221" s="5">
        <v>83192.789999999994</v>
      </c>
      <c r="AU221" s="5">
        <v>106807.07</v>
      </c>
      <c r="AV221" s="5">
        <v>106807.07</v>
      </c>
      <c r="AW221" s="5">
        <v>53705.41</v>
      </c>
      <c r="AX221" s="5">
        <v>53705.41</v>
      </c>
      <c r="AY221" s="3">
        <v>124571.47</v>
      </c>
      <c r="AZ221" s="3">
        <v>124571.47</v>
      </c>
      <c r="BC221" s="3">
        <v>61093.599999999999</v>
      </c>
      <c r="BD221" s="3">
        <v>61093.599999999999</v>
      </c>
      <c r="BG221" s="3">
        <v>61093.599999999999</v>
      </c>
      <c r="BH221" s="3">
        <v>409146.79</v>
      </c>
    </row>
    <row r="222" spans="2:60" x14ac:dyDescent="0.2">
      <c r="B222" s="73"/>
      <c r="C222" s="39">
        <v>4313</v>
      </c>
      <c r="D222" s="42" t="s">
        <v>160</v>
      </c>
      <c r="E222" s="35" t="s">
        <v>62</v>
      </c>
      <c r="F222" s="36">
        <v>0.13</v>
      </c>
      <c r="G222" s="37">
        <f t="shared" si="11"/>
        <v>0</v>
      </c>
      <c r="H222" s="37">
        <f t="shared" si="11"/>
        <v>0</v>
      </c>
      <c r="I222" s="38">
        <f t="shared" si="12"/>
        <v>0</v>
      </c>
      <c r="J222" s="66"/>
      <c r="K222" s="66"/>
      <c r="L222" s="66"/>
      <c r="M222" s="66"/>
      <c r="N222" s="66"/>
      <c r="O222" s="66"/>
      <c r="P222" s="96"/>
      <c r="Q222" s="66"/>
      <c r="R222" s="70"/>
      <c r="S222" s="70"/>
      <c r="AF222" s="5"/>
      <c r="AG222" s="5"/>
      <c r="AH222" s="89"/>
      <c r="AI222" s="89"/>
    </row>
    <row r="223" spans="2:60" x14ac:dyDescent="0.2">
      <c r="B223" s="114"/>
      <c r="C223" s="39">
        <v>4313</v>
      </c>
      <c r="D223" s="44"/>
      <c r="E223" s="35" t="s">
        <v>63</v>
      </c>
      <c r="F223" s="36">
        <v>0.09</v>
      </c>
      <c r="G223" s="37">
        <f t="shared" si="11"/>
        <v>0</v>
      </c>
      <c r="H223" s="37">
        <f t="shared" si="11"/>
        <v>0</v>
      </c>
      <c r="I223" s="38">
        <f t="shared" si="12"/>
        <v>0</v>
      </c>
      <c r="J223" s="66"/>
      <c r="K223" s="66"/>
      <c r="L223" s="66"/>
      <c r="M223" s="66"/>
      <c r="N223" s="66"/>
      <c r="O223" s="66"/>
      <c r="P223" s="96"/>
      <c r="Q223" s="66"/>
      <c r="R223" s="70"/>
      <c r="S223" s="70"/>
      <c r="AF223" s="5"/>
      <c r="AG223" s="5"/>
      <c r="AH223" s="89"/>
      <c r="AI223" s="89"/>
    </row>
    <row r="224" spans="2:60" x14ac:dyDescent="0.2">
      <c r="B224" s="91"/>
      <c r="C224" s="39">
        <v>4313</v>
      </c>
      <c r="D224" s="45"/>
      <c r="E224" s="35" t="s">
        <v>64</v>
      </c>
      <c r="F224" s="36">
        <v>0.06</v>
      </c>
      <c r="G224" s="37">
        <f t="shared" si="11"/>
        <v>414864.21</v>
      </c>
      <c r="H224" s="37">
        <f t="shared" si="11"/>
        <v>414864.21</v>
      </c>
      <c r="I224" s="38">
        <f t="shared" si="12"/>
        <v>0</v>
      </c>
      <c r="J224" s="66"/>
      <c r="K224" s="66"/>
      <c r="L224" s="66"/>
      <c r="M224" s="66"/>
      <c r="N224" s="66"/>
      <c r="O224" s="66"/>
      <c r="P224" s="96"/>
      <c r="Q224" s="66"/>
      <c r="R224" s="70"/>
      <c r="S224" s="70"/>
      <c r="AF224" s="5"/>
      <c r="AG224" s="5"/>
      <c r="AH224" s="89"/>
      <c r="AI224" s="89"/>
      <c r="AN224" s="3">
        <v>82785.600000000006</v>
      </c>
      <c r="AO224" s="3">
        <v>82785.600000000006</v>
      </c>
      <c r="AP224" s="3">
        <v>85078.78</v>
      </c>
      <c r="AQ224" s="3">
        <v>85078.78</v>
      </c>
      <c r="AR224" s="3">
        <v>108150.63</v>
      </c>
      <c r="AS224" s="5">
        <v>108150.63</v>
      </c>
      <c r="AU224" s="5">
        <v>138849.20000000001</v>
      </c>
      <c r="AV224" s="5">
        <v>138849.20000000001</v>
      </c>
    </row>
    <row r="225" spans="2:60" x14ac:dyDescent="0.2">
      <c r="B225" s="73"/>
      <c r="C225" s="39">
        <v>4313</v>
      </c>
      <c r="D225" s="42" t="s">
        <v>161</v>
      </c>
      <c r="E225" s="35" t="s">
        <v>62</v>
      </c>
      <c r="F225" s="36">
        <v>0.13</v>
      </c>
      <c r="G225" s="37">
        <f t="shared" si="11"/>
        <v>0</v>
      </c>
      <c r="H225" s="37">
        <f t="shared" si="11"/>
        <v>0</v>
      </c>
      <c r="I225" s="38">
        <f t="shared" si="12"/>
        <v>0</v>
      </c>
      <c r="J225" s="66"/>
      <c r="K225" s="66"/>
      <c r="L225" s="66"/>
      <c r="M225" s="66"/>
      <c r="N225" s="66"/>
      <c r="O225" s="66"/>
      <c r="P225" s="96"/>
      <c r="Q225" s="66"/>
      <c r="R225" s="70"/>
      <c r="S225" s="70"/>
      <c r="AF225" s="5"/>
      <c r="AG225" s="5"/>
      <c r="AH225" s="89"/>
      <c r="AI225" s="89"/>
    </row>
    <row r="226" spans="2:60" x14ac:dyDescent="0.2">
      <c r="B226" s="114"/>
      <c r="C226" s="39">
        <v>4313</v>
      </c>
      <c r="D226" s="44"/>
      <c r="E226" s="35" t="s">
        <v>63</v>
      </c>
      <c r="F226" s="36">
        <v>0.09</v>
      </c>
      <c r="G226" s="37">
        <f t="shared" si="11"/>
        <v>0</v>
      </c>
      <c r="H226" s="37">
        <f t="shared" si="11"/>
        <v>0</v>
      </c>
      <c r="I226" s="38">
        <f t="shared" si="12"/>
        <v>0</v>
      </c>
      <c r="J226" s="66"/>
      <c r="K226" s="66"/>
      <c r="L226" s="66"/>
      <c r="M226" s="66"/>
      <c r="N226" s="66"/>
      <c r="O226" s="66"/>
      <c r="P226" s="96"/>
      <c r="Q226" s="66"/>
      <c r="R226" s="70"/>
      <c r="S226" s="70"/>
      <c r="AF226" s="5"/>
      <c r="AG226" s="5"/>
      <c r="AH226" s="89"/>
      <c r="AI226" s="89"/>
    </row>
    <row r="227" spans="2:60" x14ac:dyDescent="0.2">
      <c r="B227" s="91"/>
      <c r="C227" s="39">
        <v>4313</v>
      </c>
      <c r="D227" s="45"/>
      <c r="E227" s="35" t="s">
        <v>64</v>
      </c>
      <c r="F227" s="36">
        <v>0.06</v>
      </c>
      <c r="G227" s="37">
        <f t="shared" si="11"/>
        <v>627969.51</v>
      </c>
      <c r="H227" s="37">
        <f t="shared" si="11"/>
        <v>627969.51</v>
      </c>
      <c r="I227" s="38">
        <f t="shared" si="12"/>
        <v>0</v>
      </c>
      <c r="J227" s="66"/>
      <c r="K227" s="66"/>
      <c r="L227" s="66"/>
      <c r="M227" s="66"/>
      <c r="N227" s="66"/>
      <c r="O227" s="66"/>
      <c r="P227" s="96"/>
      <c r="Q227" s="66"/>
      <c r="R227" s="70"/>
      <c r="S227" s="70"/>
      <c r="AF227" s="5"/>
      <c r="AG227" s="5"/>
      <c r="AH227" s="89"/>
      <c r="AI227" s="89"/>
      <c r="AP227" s="3">
        <v>387598.25</v>
      </c>
      <c r="AW227" s="5">
        <v>42964.32</v>
      </c>
      <c r="AX227" s="5">
        <v>42964.32</v>
      </c>
      <c r="AY227" s="3">
        <v>99657.18</v>
      </c>
      <c r="AZ227" s="3">
        <v>99657.18</v>
      </c>
      <c r="BC227" s="3">
        <v>48874.879999999997</v>
      </c>
      <c r="BD227" s="3">
        <v>48874.879999999997</v>
      </c>
      <c r="BG227" s="3">
        <v>48874.879999999997</v>
      </c>
      <c r="BH227" s="3">
        <v>436473.13</v>
      </c>
    </row>
    <row r="228" spans="2:60" x14ac:dyDescent="0.2">
      <c r="B228" s="73"/>
      <c r="C228" s="39" t="s">
        <v>162</v>
      </c>
      <c r="D228" s="42" t="s">
        <v>163</v>
      </c>
      <c r="E228" s="35" t="s">
        <v>62</v>
      </c>
      <c r="F228" s="36">
        <v>0.13</v>
      </c>
      <c r="G228" s="37">
        <f t="shared" si="11"/>
        <v>13862939.039999999</v>
      </c>
      <c r="H228" s="37">
        <f t="shared" si="11"/>
        <v>0</v>
      </c>
      <c r="I228" s="38">
        <f t="shared" si="12"/>
        <v>13862939.039999999</v>
      </c>
      <c r="J228" s="66"/>
      <c r="K228" s="66"/>
      <c r="L228" s="66"/>
      <c r="M228" s="66"/>
      <c r="N228" s="66"/>
      <c r="O228" s="66"/>
      <c r="P228" s="96"/>
      <c r="Q228" s="66"/>
      <c r="R228" s="70"/>
      <c r="S228" s="70"/>
      <c r="AF228" s="5"/>
      <c r="AG228" s="5"/>
      <c r="AH228" s="89"/>
      <c r="AI228" s="89"/>
      <c r="AN228" s="3">
        <v>13862939.039999999</v>
      </c>
    </row>
    <row r="229" spans="2:60" x14ac:dyDescent="0.2">
      <c r="B229" s="114"/>
      <c r="C229" s="39" t="s">
        <v>162</v>
      </c>
      <c r="D229" s="44"/>
      <c r="E229" s="35" t="s">
        <v>63</v>
      </c>
      <c r="F229" s="36">
        <v>0.09</v>
      </c>
      <c r="G229" s="37">
        <f t="shared" si="11"/>
        <v>60938348.189999998</v>
      </c>
      <c r="H229" s="37">
        <f t="shared" si="11"/>
        <v>0</v>
      </c>
      <c r="I229" s="38">
        <f t="shared" si="12"/>
        <v>60938348.189999998</v>
      </c>
      <c r="J229" s="66"/>
      <c r="K229" s="66"/>
      <c r="L229" s="66"/>
      <c r="M229" s="66"/>
      <c r="N229" s="66"/>
      <c r="O229" s="66"/>
      <c r="P229" s="96"/>
      <c r="Q229" s="66"/>
      <c r="R229" s="70"/>
      <c r="S229" s="70"/>
      <c r="AF229" s="5"/>
      <c r="AG229" s="5"/>
      <c r="AH229" s="89"/>
      <c r="AI229" s="89"/>
      <c r="AN229" s="3">
        <v>59701282.649999999</v>
      </c>
      <c r="AP229" s="3">
        <v>1237065.54</v>
      </c>
    </row>
    <row r="230" spans="2:60" x14ac:dyDescent="0.2">
      <c r="B230" s="91"/>
      <c r="C230" s="39" t="s">
        <v>162</v>
      </c>
      <c r="D230" s="45"/>
      <c r="E230" s="35" t="s">
        <v>64</v>
      </c>
      <c r="F230" s="36">
        <v>0.06</v>
      </c>
      <c r="G230" s="37">
        <f t="shared" si="11"/>
        <v>28896222.790000003</v>
      </c>
      <c r="H230" s="37">
        <f t="shared" si="11"/>
        <v>0</v>
      </c>
      <c r="I230" s="38">
        <f t="shared" si="12"/>
        <v>28896222.790000003</v>
      </c>
      <c r="J230" s="66"/>
      <c r="K230" s="66"/>
      <c r="L230" s="66"/>
      <c r="M230" s="66"/>
      <c r="N230" s="66"/>
      <c r="O230" s="66"/>
      <c r="P230" s="96"/>
      <c r="Q230" s="66"/>
      <c r="R230" s="70"/>
      <c r="S230" s="70"/>
      <c r="AF230" s="5"/>
      <c r="AG230" s="5"/>
      <c r="AH230" s="89"/>
      <c r="AI230" s="89"/>
      <c r="AN230" s="3">
        <v>30103795.41</v>
      </c>
      <c r="AP230" s="3">
        <v>-1237065.54</v>
      </c>
      <c r="AY230" s="3">
        <v>29492.92</v>
      </c>
    </row>
    <row r="231" spans="2:60" x14ac:dyDescent="0.2">
      <c r="B231" s="73"/>
      <c r="C231" s="42" t="s">
        <v>164</v>
      </c>
      <c r="D231" s="42" t="s">
        <v>165</v>
      </c>
      <c r="E231" s="35" t="s">
        <v>62</v>
      </c>
      <c r="F231" s="36">
        <v>0.13</v>
      </c>
      <c r="G231" s="37">
        <f t="shared" si="11"/>
        <v>344454101.57000005</v>
      </c>
      <c r="H231" s="37">
        <f t="shared" si="11"/>
        <v>0</v>
      </c>
      <c r="I231" s="38">
        <f t="shared" si="12"/>
        <v>344454101.57000005</v>
      </c>
      <c r="J231" s="66"/>
      <c r="K231" s="66"/>
      <c r="L231" s="66"/>
      <c r="M231" s="66"/>
      <c r="N231" s="66"/>
      <c r="O231" s="66"/>
      <c r="P231" s="96"/>
      <c r="Q231" s="66"/>
      <c r="R231" s="70"/>
      <c r="S231" s="70"/>
      <c r="AF231" s="5"/>
      <c r="AG231" s="5"/>
      <c r="AH231" s="89"/>
      <c r="AI231" s="89"/>
      <c r="AY231" s="3">
        <v>10730530.060000001</v>
      </c>
      <c r="BC231" s="3">
        <v>42643146.039999999</v>
      </c>
      <c r="BG231" s="3">
        <v>291080425.47000003</v>
      </c>
    </row>
    <row r="232" spans="2:60" x14ac:dyDescent="0.2">
      <c r="B232" s="114"/>
      <c r="C232" s="44"/>
      <c r="D232" s="44"/>
      <c r="E232" s="35" t="s">
        <v>63</v>
      </c>
      <c r="F232" s="36">
        <v>0.09</v>
      </c>
      <c r="G232" s="37">
        <f t="shared" si="11"/>
        <v>368395430.50999999</v>
      </c>
      <c r="H232" s="37">
        <f t="shared" si="11"/>
        <v>0</v>
      </c>
      <c r="I232" s="38">
        <f t="shared" si="12"/>
        <v>368395430.50999999</v>
      </c>
      <c r="J232" s="66"/>
      <c r="K232" s="66"/>
      <c r="L232" s="66"/>
      <c r="M232" s="66"/>
      <c r="N232" s="66"/>
      <c r="O232" s="66"/>
      <c r="P232" s="96"/>
      <c r="Q232" s="66"/>
      <c r="R232" s="70"/>
      <c r="S232" s="70"/>
      <c r="AF232" s="5"/>
      <c r="AG232" s="5"/>
      <c r="AH232" s="89"/>
      <c r="AI232" s="89"/>
      <c r="AR232" s="3">
        <v>5933274.54</v>
      </c>
      <c r="AU232" s="5">
        <v>28486890.07</v>
      </c>
      <c r="AW232" s="5">
        <v>83790076.120000005</v>
      </c>
      <c r="AY232" s="3">
        <v>18500234.940000001</v>
      </c>
      <c r="BC232" s="3">
        <v>93940976.489999995</v>
      </c>
      <c r="BG232" s="3">
        <v>137743978.34999999</v>
      </c>
    </row>
    <row r="233" spans="2:60" x14ac:dyDescent="0.2">
      <c r="B233" s="91"/>
      <c r="C233" s="45"/>
      <c r="D233" s="45"/>
      <c r="E233" s="35" t="s">
        <v>64</v>
      </c>
      <c r="F233" s="36">
        <v>0.06</v>
      </c>
      <c r="G233" s="37">
        <f t="shared" si="11"/>
        <v>0</v>
      </c>
      <c r="H233" s="37">
        <f t="shared" si="11"/>
        <v>0</v>
      </c>
      <c r="I233" s="38">
        <f t="shared" si="12"/>
        <v>0</v>
      </c>
      <c r="J233" s="66"/>
      <c r="K233" s="66"/>
      <c r="L233" s="66"/>
      <c r="M233" s="66"/>
      <c r="N233" s="66"/>
      <c r="O233" s="66"/>
      <c r="P233" s="96"/>
      <c r="Q233" s="66"/>
      <c r="R233" s="70"/>
      <c r="S233" s="70"/>
      <c r="AF233" s="5"/>
      <c r="AG233" s="5"/>
      <c r="AH233" s="89"/>
      <c r="AI233" s="89"/>
      <c r="AN233" s="3">
        <v>380184.62</v>
      </c>
      <c r="AP233" s="3">
        <v>457720.72</v>
      </c>
      <c r="AR233" s="3">
        <v>3316943.87</v>
      </c>
      <c r="AU233" s="5">
        <v>17554955.43</v>
      </c>
      <c r="AW233" s="5">
        <v>-21709804.640000001</v>
      </c>
    </row>
    <row r="234" spans="2:60" x14ac:dyDescent="0.2">
      <c r="B234" s="73"/>
      <c r="C234" s="42" t="s">
        <v>166</v>
      </c>
      <c r="D234" s="42" t="s">
        <v>108</v>
      </c>
      <c r="E234" s="35" t="s">
        <v>62</v>
      </c>
      <c r="F234" s="36">
        <v>0.13</v>
      </c>
      <c r="G234" s="37">
        <f t="shared" si="11"/>
        <v>0</v>
      </c>
      <c r="H234" s="37">
        <f t="shared" si="11"/>
        <v>42903859.369999997</v>
      </c>
      <c r="I234" s="38">
        <f t="shared" si="12"/>
        <v>-42903859.369999997</v>
      </c>
      <c r="J234" s="66"/>
      <c r="K234" s="66"/>
      <c r="L234" s="66"/>
      <c r="M234" s="66"/>
      <c r="N234" s="66"/>
      <c r="O234" s="66"/>
      <c r="P234" s="96"/>
      <c r="Q234" s="66"/>
      <c r="R234" s="70"/>
      <c r="S234" s="70"/>
      <c r="AF234" s="5"/>
      <c r="AG234" s="5"/>
      <c r="AH234" s="89"/>
      <c r="AI234" s="89"/>
      <c r="AO234" s="3">
        <v>31866297.739999998</v>
      </c>
      <c r="AQ234" s="3">
        <v>11037561.630000001</v>
      </c>
    </row>
    <row r="235" spans="2:60" x14ac:dyDescent="0.2">
      <c r="B235" s="114"/>
      <c r="C235" s="44"/>
      <c r="D235" s="44"/>
      <c r="E235" s="35" t="s">
        <v>63</v>
      </c>
      <c r="F235" s="36">
        <v>0.09</v>
      </c>
      <c r="G235" s="37">
        <f t="shared" si="11"/>
        <v>0</v>
      </c>
      <c r="H235" s="37">
        <f t="shared" si="11"/>
        <v>0</v>
      </c>
      <c r="I235" s="38">
        <f t="shared" si="12"/>
        <v>0</v>
      </c>
      <c r="J235" s="66"/>
      <c r="K235" s="66"/>
      <c r="L235" s="66"/>
      <c r="M235" s="66"/>
      <c r="N235" s="66"/>
      <c r="O235" s="66"/>
      <c r="P235" s="96"/>
      <c r="Q235" s="66"/>
      <c r="R235" s="70"/>
      <c r="S235" s="70"/>
      <c r="AF235" s="5"/>
      <c r="AG235" s="5"/>
      <c r="AH235" s="89"/>
      <c r="AI235" s="89"/>
    </row>
    <row r="236" spans="2:60" x14ac:dyDescent="0.2">
      <c r="B236" s="91"/>
      <c r="C236" s="45"/>
      <c r="D236" s="45"/>
      <c r="E236" s="35" t="s">
        <v>64</v>
      </c>
      <c r="F236" s="36">
        <v>0.06</v>
      </c>
      <c r="G236" s="37">
        <f t="shared" si="11"/>
        <v>0</v>
      </c>
      <c r="H236" s="37">
        <f t="shared" si="11"/>
        <v>0</v>
      </c>
      <c r="I236" s="38">
        <f t="shared" si="12"/>
        <v>0</v>
      </c>
      <c r="J236" s="66"/>
      <c r="K236" s="66"/>
      <c r="L236" s="66"/>
      <c r="M236" s="66"/>
      <c r="N236" s="66"/>
      <c r="O236" s="66"/>
      <c r="P236" s="96"/>
      <c r="Q236" s="66"/>
      <c r="R236" s="70"/>
      <c r="S236" s="70"/>
      <c r="AF236" s="5"/>
      <c r="AG236" s="5"/>
      <c r="AH236" s="89"/>
      <c r="AI236" s="89"/>
    </row>
    <row r="237" spans="2:60" x14ac:dyDescent="0.2">
      <c r="B237" s="73"/>
      <c r="C237" s="42" t="s">
        <v>167</v>
      </c>
      <c r="D237" s="42" t="s">
        <v>168</v>
      </c>
      <c r="E237" s="35" t="s">
        <v>62</v>
      </c>
      <c r="F237" s="36">
        <v>0.13</v>
      </c>
      <c r="G237" s="37">
        <f t="shared" si="11"/>
        <v>0</v>
      </c>
      <c r="H237" s="37">
        <f t="shared" si="11"/>
        <v>406495.29</v>
      </c>
      <c r="I237" s="38">
        <f t="shared" si="12"/>
        <v>-406495.29</v>
      </c>
      <c r="J237" s="66"/>
      <c r="K237" s="66"/>
      <c r="L237" s="66"/>
      <c r="M237" s="66"/>
      <c r="N237" s="66"/>
      <c r="O237" s="66"/>
      <c r="P237" s="96"/>
      <c r="Q237" s="66"/>
      <c r="R237" s="70"/>
      <c r="S237" s="70"/>
      <c r="AF237" s="5"/>
      <c r="AG237" s="5"/>
      <c r="AH237" s="89"/>
      <c r="AI237" s="89"/>
      <c r="AO237" s="3">
        <v>406495.29</v>
      </c>
    </row>
    <row r="238" spans="2:60" x14ac:dyDescent="0.2">
      <c r="B238" s="114"/>
      <c r="C238" s="44"/>
      <c r="D238" s="44"/>
      <c r="E238" s="35" t="s">
        <v>63</v>
      </c>
      <c r="F238" s="36">
        <v>0.09</v>
      </c>
      <c r="G238" s="37">
        <f t="shared" si="11"/>
        <v>0</v>
      </c>
      <c r="H238" s="37">
        <f t="shared" si="11"/>
        <v>42514.5</v>
      </c>
      <c r="I238" s="38">
        <f t="shared" si="12"/>
        <v>-42514.5</v>
      </c>
      <c r="J238" s="66"/>
      <c r="K238" s="66"/>
      <c r="L238" s="66"/>
      <c r="M238" s="66"/>
      <c r="N238" s="66"/>
      <c r="O238" s="66"/>
      <c r="P238" s="96"/>
      <c r="Q238" s="66"/>
      <c r="R238" s="70"/>
      <c r="S238" s="70"/>
      <c r="AF238" s="5"/>
      <c r="AG238" s="5"/>
      <c r="AH238" s="89"/>
      <c r="AI238" s="89"/>
      <c r="AO238" s="3">
        <v>42514.5</v>
      </c>
    </row>
    <row r="239" spans="2:60" x14ac:dyDescent="0.2">
      <c r="B239" s="91"/>
      <c r="C239" s="45"/>
      <c r="D239" s="45"/>
      <c r="E239" s="35" t="s">
        <v>64</v>
      </c>
      <c r="F239" s="36">
        <v>0.06</v>
      </c>
      <c r="G239" s="37">
        <f t="shared" si="11"/>
        <v>0</v>
      </c>
      <c r="H239" s="37">
        <f t="shared" si="11"/>
        <v>0</v>
      </c>
      <c r="I239" s="38">
        <f t="shared" si="12"/>
        <v>0</v>
      </c>
      <c r="J239" s="66"/>
      <c r="K239" s="66"/>
      <c r="L239" s="66"/>
      <c r="M239" s="66"/>
      <c r="N239" s="66"/>
      <c r="O239" s="66"/>
      <c r="P239" s="96"/>
      <c r="Q239" s="66"/>
      <c r="R239" s="70"/>
      <c r="S239" s="70"/>
      <c r="AF239" s="5"/>
      <c r="AG239" s="5"/>
      <c r="AH239" s="89"/>
      <c r="AI239" s="89"/>
    </row>
    <row r="240" spans="2:60" x14ac:dyDescent="0.2">
      <c r="B240" s="73"/>
      <c r="C240" s="39">
        <v>2365</v>
      </c>
      <c r="D240" s="42" t="s">
        <v>135</v>
      </c>
      <c r="E240" s="35" t="s">
        <v>62</v>
      </c>
      <c r="F240" s="36">
        <v>0.13</v>
      </c>
      <c r="G240" s="37">
        <f t="shared" si="11"/>
        <v>0</v>
      </c>
      <c r="H240" s="37">
        <f t="shared" si="11"/>
        <v>0</v>
      </c>
      <c r="I240" s="38">
        <f t="shared" si="12"/>
        <v>0</v>
      </c>
      <c r="J240" s="66"/>
      <c r="K240" s="66"/>
      <c r="L240" s="66"/>
      <c r="M240" s="66"/>
      <c r="N240" s="66"/>
      <c r="O240" s="66"/>
      <c r="P240" s="96"/>
      <c r="Q240" s="66"/>
      <c r="R240" s="70"/>
      <c r="S240" s="70"/>
      <c r="AF240" s="5"/>
      <c r="AG240" s="5"/>
      <c r="AH240" s="89"/>
      <c r="AI240" s="89"/>
    </row>
    <row r="241" spans="2:60" x14ac:dyDescent="0.2">
      <c r="B241" s="114"/>
      <c r="C241" s="39">
        <v>2365</v>
      </c>
      <c r="D241" s="44"/>
      <c r="E241" s="35" t="s">
        <v>63</v>
      </c>
      <c r="F241" s="36">
        <v>0.09</v>
      </c>
      <c r="G241" s="37">
        <f t="shared" si="11"/>
        <v>0</v>
      </c>
      <c r="H241" s="37">
        <f t="shared" si="11"/>
        <v>0</v>
      </c>
      <c r="I241" s="38">
        <f t="shared" si="12"/>
        <v>0</v>
      </c>
      <c r="J241" s="66"/>
      <c r="K241" s="66"/>
      <c r="L241" s="66"/>
      <c r="M241" s="66"/>
      <c r="N241" s="66"/>
      <c r="O241" s="66"/>
      <c r="P241" s="96"/>
      <c r="Q241" s="66"/>
      <c r="R241" s="70"/>
      <c r="S241" s="70"/>
      <c r="AF241" s="5"/>
      <c r="AG241" s="5"/>
      <c r="AH241" s="89"/>
      <c r="AI241" s="89"/>
    </row>
    <row r="242" spans="2:60" x14ac:dyDescent="0.2">
      <c r="B242" s="91"/>
      <c r="C242" s="39">
        <v>2365</v>
      </c>
      <c r="D242" s="45"/>
      <c r="E242" s="35" t="s">
        <v>64</v>
      </c>
      <c r="F242" s="36">
        <v>0.06</v>
      </c>
      <c r="G242" s="37">
        <f t="shared" si="11"/>
        <v>0</v>
      </c>
      <c r="H242" s="37">
        <f t="shared" si="11"/>
        <v>13036.99</v>
      </c>
      <c r="I242" s="38">
        <f t="shared" si="12"/>
        <v>-13036.99</v>
      </c>
      <c r="J242" s="66"/>
      <c r="K242" s="66"/>
      <c r="L242" s="66"/>
      <c r="M242" s="66"/>
      <c r="N242" s="66"/>
      <c r="O242" s="66"/>
      <c r="P242" s="96"/>
      <c r="Q242" s="66"/>
      <c r="R242" s="70"/>
      <c r="S242" s="70"/>
      <c r="AF242" s="5"/>
      <c r="AG242" s="5"/>
      <c r="AH242" s="89"/>
      <c r="AI242" s="89"/>
      <c r="AO242" s="3">
        <v>13036.99</v>
      </c>
    </row>
    <row r="243" spans="2:60" x14ac:dyDescent="0.2">
      <c r="B243" s="73"/>
      <c r="C243" s="42" t="s">
        <v>169</v>
      </c>
      <c r="D243" s="42" t="s">
        <v>170</v>
      </c>
      <c r="E243" s="35" t="s">
        <v>62</v>
      </c>
      <c r="F243" s="36">
        <v>0.13</v>
      </c>
      <c r="G243" s="37">
        <f t="shared" si="11"/>
        <v>0</v>
      </c>
      <c r="H243" s="37">
        <f t="shared" si="11"/>
        <v>1249415.93</v>
      </c>
      <c r="I243" s="38">
        <f t="shared" si="12"/>
        <v>-1249415.93</v>
      </c>
      <c r="J243" s="66"/>
      <c r="K243" s="66"/>
      <c r="L243" s="66"/>
      <c r="M243" s="66"/>
      <c r="N243" s="66"/>
      <c r="O243" s="66"/>
      <c r="P243" s="96"/>
      <c r="Q243" s="66"/>
      <c r="R243" s="70"/>
      <c r="S243" s="70"/>
      <c r="AF243" s="5"/>
      <c r="AG243" s="5"/>
      <c r="AH243" s="89"/>
      <c r="AI243" s="89"/>
      <c r="AO243" s="3">
        <v>1249415.93</v>
      </c>
    </row>
    <row r="244" spans="2:60" x14ac:dyDescent="0.2">
      <c r="B244" s="114"/>
      <c r="C244" s="44"/>
      <c r="D244" s="44"/>
      <c r="E244" s="35" t="s">
        <v>63</v>
      </c>
      <c r="F244" s="36">
        <v>0.09</v>
      </c>
      <c r="G244" s="37">
        <f t="shared" si="11"/>
        <v>0</v>
      </c>
      <c r="H244" s="37">
        <f t="shared" si="11"/>
        <v>0</v>
      </c>
      <c r="I244" s="38">
        <f t="shared" si="12"/>
        <v>0</v>
      </c>
      <c r="J244" s="66"/>
      <c r="K244" s="66"/>
      <c r="L244" s="66"/>
      <c r="M244" s="66"/>
      <c r="N244" s="66"/>
      <c r="O244" s="66"/>
      <c r="P244" s="96"/>
      <c r="Q244" s="66"/>
      <c r="R244" s="70"/>
      <c r="S244" s="70"/>
      <c r="AF244" s="5"/>
      <c r="AG244" s="5"/>
      <c r="AH244" s="89"/>
      <c r="AI244" s="89"/>
    </row>
    <row r="245" spans="2:60" x14ac:dyDescent="0.2">
      <c r="B245" s="91"/>
      <c r="C245" s="45"/>
      <c r="D245" s="45"/>
      <c r="E245" s="35" t="s">
        <v>64</v>
      </c>
      <c r="F245" s="36">
        <v>0.06</v>
      </c>
      <c r="G245" s="37">
        <f t="shared" si="11"/>
        <v>0</v>
      </c>
      <c r="H245" s="37">
        <f t="shared" si="11"/>
        <v>0</v>
      </c>
      <c r="I245" s="38">
        <f t="shared" si="12"/>
        <v>0</v>
      </c>
      <c r="J245" s="66"/>
      <c r="K245" s="66"/>
      <c r="L245" s="66"/>
      <c r="M245" s="66"/>
      <c r="N245" s="66"/>
      <c r="O245" s="66"/>
      <c r="P245" s="96"/>
      <c r="Q245" s="66"/>
      <c r="R245" s="70"/>
      <c r="S245" s="70"/>
      <c r="AF245" s="5"/>
      <c r="AG245" s="5"/>
      <c r="AH245" s="89"/>
      <c r="AI245" s="89"/>
    </row>
    <row r="246" spans="2:60" x14ac:dyDescent="0.2">
      <c r="B246" s="73"/>
      <c r="C246" s="115">
        <v>4306</v>
      </c>
      <c r="D246" s="42" t="s">
        <v>156</v>
      </c>
      <c r="E246" s="35" t="s">
        <v>62</v>
      </c>
      <c r="F246" s="36">
        <v>0.13</v>
      </c>
      <c r="G246" s="37">
        <f t="shared" si="11"/>
        <v>0</v>
      </c>
      <c r="H246" s="37">
        <f t="shared" si="11"/>
        <v>0</v>
      </c>
      <c r="I246" s="38">
        <f t="shared" si="12"/>
        <v>0</v>
      </c>
      <c r="J246" s="66"/>
      <c r="K246" s="66"/>
      <c r="L246" s="66"/>
      <c r="M246" s="66"/>
      <c r="N246" s="66"/>
      <c r="O246" s="66"/>
      <c r="P246" s="96"/>
      <c r="Q246" s="66"/>
      <c r="R246" s="70"/>
      <c r="S246" s="70"/>
      <c r="AF246" s="5"/>
      <c r="AG246" s="5"/>
      <c r="AH246" s="89"/>
      <c r="AI246" s="89"/>
    </row>
    <row r="247" spans="2:60" x14ac:dyDescent="0.2">
      <c r="B247" s="114"/>
      <c r="C247" s="115">
        <v>4306</v>
      </c>
      <c r="D247" s="44"/>
      <c r="E247" s="35" t="s">
        <v>63</v>
      </c>
      <c r="F247" s="36">
        <v>0.09</v>
      </c>
      <c r="G247" s="37">
        <f t="shared" si="11"/>
        <v>0</v>
      </c>
      <c r="H247" s="37">
        <f t="shared" si="11"/>
        <v>0</v>
      </c>
      <c r="I247" s="38">
        <f t="shared" si="12"/>
        <v>0</v>
      </c>
      <c r="J247" s="66"/>
      <c r="K247" s="66"/>
      <c r="L247" s="66"/>
      <c r="M247" s="66"/>
      <c r="N247" s="66"/>
      <c r="O247" s="66"/>
      <c r="P247" s="96"/>
      <c r="Q247" s="66"/>
      <c r="R247" s="70"/>
      <c r="S247" s="70"/>
      <c r="AF247" s="5"/>
      <c r="AG247" s="5"/>
      <c r="AH247" s="89"/>
      <c r="AI247" s="89"/>
    </row>
    <row r="248" spans="2:60" ht="14.1" customHeight="1" x14ac:dyDescent="0.2">
      <c r="B248" s="114"/>
      <c r="C248" s="116">
        <v>4306</v>
      </c>
      <c r="D248" s="44"/>
      <c r="E248" s="35" t="s">
        <v>64</v>
      </c>
      <c r="F248" s="36">
        <v>0.06</v>
      </c>
      <c r="G248" s="37">
        <f t="shared" si="11"/>
        <v>787275.74999999988</v>
      </c>
      <c r="H248" s="37">
        <f t="shared" si="11"/>
        <v>392371.14</v>
      </c>
      <c r="I248" s="38">
        <f t="shared" si="12"/>
        <v>394904.60999999987</v>
      </c>
      <c r="J248" s="66"/>
      <c r="K248" s="66"/>
      <c r="L248" s="66"/>
      <c r="M248" s="66"/>
      <c r="N248" s="66"/>
      <c r="O248" s="66"/>
      <c r="P248" s="96"/>
      <c r="Q248" s="66"/>
      <c r="R248" s="70"/>
      <c r="S248" s="70"/>
      <c r="AF248" s="5"/>
      <c r="AG248" s="5"/>
      <c r="AH248" s="89"/>
      <c r="AI248" s="89"/>
      <c r="AP248" s="3">
        <v>443779.49</v>
      </c>
      <c r="AR248" s="3">
        <v>66554.22</v>
      </c>
      <c r="AS248" s="5">
        <v>66554.22</v>
      </c>
      <c r="AU248" s="5">
        <v>85445.66</v>
      </c>
      <c r="AV248" s="5">
        <v>85445.66</v>
      </c>
      <c r="AW248" s="5">
        <v>42964.32</v>
      </c>
      <c r="AX248" s="5">
        <v>42964.32</v>
      </c>
      <c r="AY248" s="3">
        <v>99657.18</v>
      </c>
      <c r="AZ248" s="3">
        <v>99657.18</v>
      </c>
      <c r="BC248" s="3">
        <v>48874.879999999997</v>
      </c>
      <c r="BD248" s="3">
        <v>48874.879999999997</v>
      </c>
      <c r="BH248" s="3">
        <v>48874.879999999997</v>
      </c>
    </row>
    <row r="249" spans="2:60" ht="17.100000000000001" customHeight="1" x14ac:dyDescent="0.2">
      <c r="B249" s="73"/>
      <c r="C249" s="116">
        <v>3399</v>
      </c>
      <c r="D249" s="42" t="s">
        <v>171</v>
      </c>
      <c r="E249" s="35" t="s">
        <v>62</v>
      </c>
      <c r="F249" s="36">
        <v>0.13</v>
      </c>
      <c r="G249" s="37">
        <f t="shared" si="11"/>
        <v>0</v>
      </c>
      <c r="H249" s="37">
        <f t="shared" si="11"/>
        <v>0</v>
      </c>
      <c r="I249" s="38">
        <f t="shared" si="12"/>
        <v>0</v>
      </c>
      <c r="J249" s="66"/>
      <c r="K249" s="66"/>
      <c r="L249" s="66"/>
      <c r="M249" s="66"/>
      <c r="N249" s="66"/>
      <c r="O249" s="66"/>
      <c r="P249" s="96"/>
      <c r="Q249" s="66"/>
      <c r="R249" s="70"/>
      <c r="S249" s="70"/>
      <c r="AF249" s="5"/>
      <c r="AG249" s="5"/>
      <c r="AH249" s="89"/>
      <c r="AI249" s="89"/>
    </row>
    <row r="250" spans="2:60" ht="17.100000000000001" customHeight="1" x14ac:dyDescent="0.2">
      <c r="B250" s="114"/>
      <c r="C250" s="116">
        <v>3399</v>
      </c>
      <c r="D250" s="44"/>
      <c r="E250" s="35" t="s">
        <v>63</v>
      </c>
      <c r="F250" s="36">
        <v>0.09</v>
      </c>
      <c r="G250" s="37">
        <f t="shared" si="11"/>
        <v>0</v>
      </c>
      <c r="H250" s="37">
        <f t="shared" si="11"/>
        <v>0</v>
      </c>
      <c r="I250" s="38">
        <f t="shared" si="12"/>
        <v>0</v>
      </c>
      <c r="J250" s="66"/>
      <c r="K250" s="66"/>
      <c r="L250" s="66"/>
      <c r="M250" s="66"/>
      <c r="N250" s="66"/>
      <c r="O250" s="66"/>
      <c r="P250" s="96"/>
      <c r="Q250" s="66"/>
      <c r="R250" s="70"/>
      <c r="S250" s="70"/>
      <c r="AF250" s="5"/>
      <c r="AG250" s="5"/>
      <c r="AH250" s="89"/>
      <c r="AI250" s="89"/>
    </row>
    <row r="251" spans="2:60" ht="17.100000000000001" customHeight="1" x14ac:dyDescent="0.2">
      <c r="B251" s="114"/>
      <c r="C251" s="116">
        <v>3399</v>
      </c>
      <c r="D251" s="44"/>
      <c r="E251" s="35" t="s">
        <v>64</v>
      </c>
      <c r="F251" s="36">
        <v>0.06</v>
      </c>
      <c r="G251" s="37">
        <f t="shared" si="11"/>
        <v>318603.57</v>
      </c>
      <c r="H251" s="37">
        <f t="shared" si="11"/>
        <v>0</v>
      </c>
      <c r="I251" s="38">
        <f t="shared" si="12"/>
        <v>318603.57</v>
      </c>
      <c r="J251" s="66"/>
      <c r="K251" s="66"/>
      <c r="L251" s="66"/>
      <c r="M251" s="66"/>
      <c r="N251" s="66"/>
      <c r="O251" s="66"/>
      <c r="P251" s="96"/>
      <c r="Q251" s="66"/>
      <c r="R251" s="70"/>
      <c r="S251" s="70"/>
      <c r="AF251" s="5"/>
      <c r="AG251" s="5"/>
      <c r="AH251" s="89"/>
      <c r="AI251" s="89"/>
      <c r="AP251" s="3">
        <v>291401.82</v>
      </c>
      <c r="AR251" s="3">
        <v>27201.75</v>
      </c>
    </row>
    <row r="252" spans="2:60" ht="17.100000000000001" customHeight="1" x14ac:dyDescent="0.2">
      <c r="B252" s="73"/>
      <c r="C252" s="116">
        <v>3403</v>
      </c>
      <c r="D252" s="42" t="s">
        <v>172</v>
      </c>
      <c r="E252" s="35" t="s">
        <v>62</v>
      </c>
      <c r="F252" s="36">
        <v>0.13</v>
      </c>
      <c r="G252" s="37">
        <f t="shared" si="11"/>
        <v>0</v>
      </c>
      <c r="H252" s="37">
        <f t="shared" si="11"/>
        <v>0</v>
      </c>
      <c r="I252" s="38">
        <f t="shared" si="12"/>
        <v>0</v>
      </c>
      <c r="J252" s="66"/>
      <c r="K252" s="66"/>
      <c r="L252" s="66"/>
      <c r="M252" s="66"/>
      <c r="N252" s="66"/>
      <c r="O252" s="66"/>
      <c r="P252" s="96"/>
      <c r="Q252" s="66"/>
      <c r="R252" s="70"/>
      <c r="S252" s="70"/>
      <c r="AF252" s="5"/>
      <c r="AG252" s="5"/>
      <c r="AH252" s="89"/>
      <c r="AI252" s="89"/>
    </row>
    <row r="253" spans="2:60" ht="17.100000000000001" customHeight="1" x14ac:dyDescent="0.2">
      <c r="B253" s="114"/>
      <c r="C253" s="116">
        <v>3403</v>
      </c>
      <c r="D253" s="44"/>
      <c r="E253" s="35" t="s">
        <v>63</v>
      </c>
      <c r="F253" s="36">
        <v>0.09</v>
      </c>
      <c r="G253" s="37">
        <f t="shared" si="11"/>
        <v>0</v>
      </c>
      <c r="H253" s="37">
        <f t="shared" si="11"/>
        <v>0</v>
      </c>
      <c r="I253" s="38">
        <f t="shared" si="12"/>
        <v>0</v>
      </c>
      <c r="J253" s="66"/>
      <c r="K253" s="66"/>
      <c r="L253" s="66"/>
      <c r="M253" s="66"/>
      <c r="N253" s="66"/>
      <c r="O253" s="66"/>
      <c r="P253" s="96"/>
      <c r="Q253" s="66"/>
      <c r="R253" s="70"/>
      <c r="S253" s="70"/>
      <c r="AF253" s="5"/>
      <c r="AG253" s="5"/>
      <c r="AH253" s="89"/>
      <c r="AI253" s="89"/>
    </row>
    <row r="254" spans="2:60" ht="17.100000000000001" customHeight="1" x14ac:dyDescent="0.2">
      <c r="B254" s="114"/>
      <c r="C254" s="116">
        <v>3403</v>
      </c>
      <c r="D254" s="44"/>
      <c r="E254" s="35" t="s">
        <v>64</v>
      </c>
      <c r="F254" s="36">
        <v>0.06</v>
      </c>
      <c r="G254" s="37">
        <f t="shared" si="11"/>
        <v>591360.48</v>
      </c>
      <c r="H254" s="37">
        <f t="shared" si="11"/>
        <v>591360.48</v>
      </c>
      <c r="I254" s="38">
        <f t="shared" si="12"/>
        <v>0</v>
      </c>
      <c r="J254" s="66"/>
      <c r="K254" s="66"/>
      <c r="L254" s="66"/>
      <c r="M254" s="66"/>
      <c r="N254" s="66"/>
      <c r="O254" s="66"/>
      <c r="P254" s="96"/>
      <c r="Q254" s="66"/>
      <c r="R254" s="70"/>
      <c r="S254" s="70"/>
      <c r="AF254" s="5"/>
      <c r="AG254" s="5"/>
      <c r="AH254" s="89"/>
      <c r="AI254" s="89"/>
      <c r="AP254" s="3">
        <v>291401.82</v>
      </c>
      <c r="AR254" s="3">
        <v>27201.75</v>
      </c>
      <c r="AU254" s="5">
        <v>32385.65</v>
      </c>
      <c r="AW254" s="5">
        <v>42964.32</v>
      </c>
      <c r="AX254" s="5">
        <v>42964.32</v>
      </c>
      <c r="AY254" s="3">
        <v>99657.18</v>
      </c>
      <c r="AZ254" s="3">
        <v>99657.18</v>
      </c>
      <c r="BC254" s="3">
        <v>48874.879999999997</v>
      </c>
      <c r="BD254" s="3">
        <v>48874.879999999997</v>
      </c>
      <c r="BG254" s="3">
        <v>48874.879999999997</v>
      </c>
      <c r="BH254" s="3">
        <v>399864.1</v>
      </c>
    </row>
    <row r="255" spans="2:60" ht="17.100000000000001" customHeight="1" x14ac:dyDescent="0.2">
      <c r="B255" s="73"/>
      <c r="C255" s="116">
        <v>3398</v>
      </c>
      <c r="D255" s="42" t="s">
        <v>173</v>
      </c>
      <c r="E255" s="35" t="s">
        <v>62</v>
      </c>
      <c r="F255" s="36">
        <v>0.13</v>
      </c>
      <c r="G255" s="37">
        <f t="shared" si="11"/>
        <v>0</v>
      </c>
      <c r="H255" s="37">
        <f t="shared" si="11"/>
        <v>0</v>
      </c>
      <c r="I255" s="38">
        <f t="shared" si="12"/>
        <v>0</v>
      </c>
      <c r="J255" s="66"/>
      <c r="K255" s="66"/>
      <c r="L255" s="66"/>
      <c r="M255" s="66"/>
      <c r="N255" s="66"/>
      <c r="O255" s="66"/>
      <c r="P255" s="96"/>
      <c r="Q255" s="66"/>
      <c r="R255" s="70"/>
      <c r="S255" s="70"/>
      <c r="AF255" s="5"/>
      <c r="AG255" s="5"/>
      <c r="AH255" s="89"/>
      <c r="AI255" s="89"/>
    </row>
    <row r="256" spans="2:60" ht="17.100000000000001" customHeight="1" x14ac:dyDescent="0.2">
      <c r="B256" s="114"/>
      <c r="C256" s="116">
        <v>3398</v>
      </c>
      <c r="D256" s="44"/>
      <c r="E256" s="35" t="s">
        <v>63</v>
      </c>
      <c r="F256" s="36">
        <v>0.09</v>
      </c>
      <c r="G256" s="37">
        <f t="shared" si="11"/>
        <v>0</v>
      </c>
      <c r="H256" s="37">
        <f t="shared" si="11"/>
        <v>0</v>
      </c>
      <c r="I256" s="38">
        <f t="shared" si="12"/>
        <v>0</v>
      </c>
      <c r="J256" s="66"/>
      <c r="K256" s="66"/>
      <c r="L256" s="66"/>
      <c r="M256" s="66"/>
      <c r="N256" s="66"/>
      <c r="O256" s="66"/>
      <c r="P256" s="96"/>
      <c r="Q256" s="66"/>
      <c r="R256" s="70"/>
      <c r="S256" s="70"/>
      <c r="AF256" s="5"/>
      <c r="AG256" s="5"/>
      <c r="AH256" s="89"/>
      <c r="AI256" s="89"/>
    </row>
    <row r="257" spans="2:60" ht="17.100000000000001" customHeight="1" x14ac:dyDescent="0.2">
      <c r="B257" s="114"/>
      <c r="C257" s="116">
        <v>3398</v>
      </c>
      <c r="D257" s="44"/>
      <c r="E257" s="35" t="s">
        <v>64</v>
      </c>
      <c r="F257" s="36">
        <v>0.06</v>
      </c>
      <c r="G257" s="37">
        <f t="shared" si="11"/>
        <v>591360.48</v>
      </c>
      <c r="H257" s="37">
        <f t="shared" si="11"/>
        <v>591360.48</v>
      </c>
      <c r="I257" s="38">
        <f t="shared" si="12"/>
        <v>0</v>
      </c>
      <c r="J257" s="66"/>
      <c r="K257" s="66"/>
      <c r="L257" s="66"/>
      <c r="M257" s="66"/>
      <c r="N257" s="66"/>
      <c r="O257" s="66"/>
      <c r="P257" s="96"/>
      <c r="Q257" s="66"/>
      <c r="R257" s="70"/>
      <c r="S257" s="70"/>
      <c r="AF257" s="5"/>
      <c r="AG257" s="5"/>
      <c r="AH257" s="89"/>
      <c r="AI257" s="89"/>
      <c r="AP257" s="3">
        <v>291401.82</v>
      </c>
      <c r="AR257" s="3">
        <v>27201.75</v>
      </c>
      <c r="AU257" s="5">
        <v>32385.65</v>
      </c>
      <c r="AW257" s="5">
        <v>42964.32</v>
      </c>
      <c r="AX257" s="5">
        <v>42964.32</v>
      </c>
      <c r="AY257" s="3">
        <v>99657.18</v>
      </c>
      <c r="AZ257" s="3">
        <v>99657.18</v>
      </c>
      <c r="BC257" s="3">
        <v>48874.879999999997</v>
      </c>
      <c r="BD257" s="3">
        <v>48874.879999999997</v>
      </c>
      <c r="BG257" s="3">
        <v>48874.879999999997</v>
      </c>
      <c r="BH257" s="3">
        <v>399864.1</v>
      </c>
    </row>
    <row r="258" spans="2:60" ht="17.100000000000001" customHeight="1" x14ac:dyDescent="0.2">
      <c r="B258" s="73"/>
      <c r="C258" s="116">
        <v>3401</v>
      </c>
      <c r="D258" s="42" t="s">
        <v>174</v>
      </c>
      <c r="E258" s="35" t="s">
        <v>62</v>
      </c>
      <c r="F258" s="36">
        <v>0.13</v>
      </c>
      <c r="G258" s="37">
        <f t="shared" si="11"/>
        <v>0</v>
      </c>
      <c r="H258" s="37">
        <f t="shared" si="11"/>
        <v>0</v>
      </c>
      <c r="I258" s="38">
        <f t="shared" si="12"/>
        <v>0</v>
      </c>
      <c r="J258" s="66"/>
      <c r="K258" s="66"/>
      <c r="L258" s="66"/>
      <c r="M258" s="66"/>
      <c r="N258" s="66"/>
      <c r="O258" s="66"/>
      <c r="P258" s="96"/>
      <c r="Q258" s="66"/>
      <c r="R258" s="70"/>
      <c r="S258" s="70"/>
      <c r="AF258" s="5"/>
      <c r="AG258" s="5"/>
      <c r="AH258" s="89"/>
      <c r="AI258" s="89"/>
    </row>
    <row r="259" spans="2:60" ht="17.100000000000001" customHeight="1" x14ac:dyDescent="0.2">
      <c r="B259" s="114"/>
      <c r="C259" s="116">
        <v>3401</v>
      </c>
      <c r="D259" s="44"/>
      <c r="E259" s="35" t="s">
        <v>63</v>
      </c>
      <c r="F259" s="36">
        <v>0.09</v>
      </c>
      <c r="G259" s="37">
        <f t="shared" si="11"/>
        <v>0</v>
      </c>
      <c r="H259" s="37">
        <f t="shared" si="11"/>
        <v>0</v>
      </c>
      <c r="I259" s="38">
        <f t="shared" si="12"/>
        <v>0</v>
      </c>
      <c r="J259" s="66"/>
      <c r="K259" s="66"/>
      <c r="L259" s="66"/>
      <c r="M259" s="66"/>
      <c r="N259" s="66"/>
      <c r="O259" s="66"/>
      <c r="P259" s="96"/>
      <c r="Q259" s="66"/>
      <c r="R259" s="70"/>
      <c r="S259" s="70"/>
      <c r="AF259" s="5"/>
      <c r="AG259" s="5"/>
      <c r="AH259" s="89"/>
      <c r="AI259" s="89"/>
    </row>
    <row r="260" spans="2:60" ht="17.100000000000001" customHeight="1" x14ac:dyDescent="0.2">
      <c r="B260" s="114"/>
      <c r="C260" s="116">
        <v>3401</v>
      </c>
      <c r="D260" s="44"/>
      <c r="E260" s="35" t="s">
        <v>64</v>
      </c>
      <c r="F260" s="36">
        <v>0.06</v>
      </c>
      <c r="G260" s="37">
        <f t="shared" si="11"/>
        <v>377841.91000000003</v>
      </c>
      <c r="H260" s="37">
        <f t="shared" si="11"/>
        <v>26852.69</v>
      </c>
      <c r="I260" s="38">
        <f t="shared" si="12"/>
        <v>350989.22000000003</v>
      </c>
      <c r="J260" s="66"/>
      <c r="K260" s="66"/>
      <c r="L260" s="66"/>
      <c r="M260" s="66"/>
      <c r="N260" s="66"/>
      <c r="O260" s="66"/>
      <c r="P260" s="96"/>
      <c r="Q260" s="66"/>
      <c r="R260" s="70"/>
      <c r="S260" s="70"/>
      <c r="AF260" s="5"/>
      <c r="AG260" s="5"/>
      <c r="AH260" s="89"/>
      <c r="AI260" s="89"/>
      <c r="AP260" s="3">
        <v>291401.82</v>
      </c>
      <c r="AR260" s="3">
        <v>27201.75</v>
      </c>
      <c r="AU260" s="5">
        <v>32385.65</v>
      </c>
      <c r="AW260" s="5">
        <v>26852.69</v>
      </c>
      <c r="AX260" s="5">
        <v>26852.69</v>
      </c>
    </row>
    <row r="261" spans="2:60" ht="17.100000000000001" customHeight="1" x14ac:dyDescent="0.2">
      <c r="B261" s="73"/>
      <c r="C261" s="116">
        <v>3402</v>
      </c>
      <c r="D261" s="42" t="s">
        <v>175</v>
      </c>
      <c r="E261" s="35" t="s">
        <v>62</v>
      </c>
      <c r="F261" s="36">
        <v>0.13</v>
      </c>
      <c r="G261" s="37">
        <f t="shared" si="11"/>
        <v>0</v>
      </c>
      <c r="H261" s="37">
        <f t="shared" si="11"/>
        <v>0</v>
      </c>
      <c r="I261" s="38">
        <f t="shared" si="12"/>
        <v>0</v>
      </c>
      <c r="J261" s="66"/>
      <c r="K261" s="66"/>
      <c r="L261" s="66"/>
      <c r="M261" s="66"/>
      <c r="N261" s="66"/>
      <c r="O261" s="66"/>
      <c r="P261" s="96"/>
      <c r="Q261" s="66"/>
      <c r="R261" s="70"/>
      <c r="S261" s="70"/>
      <c r="AF261" s="5"/>
      <c r="AG261" s="5"/>
      <c r="AH261" s="89"/>
      <c r="AI261" s="89"/>
    </row>
    <row r="262" spans="2:60" ht="17.100000000000001" customHeight="1" x14ac:dyDescent="0.2">
      <c r="B262" s="114"/>
      <c r="C262" s="116">
        <v>3402</v>
      </c>
      <c r="D262" s="44"/>
      <c r="E262" s="35" t="s">
        <v>63</v>
      </c>
      <c r="F262" s="36">
        <v>0.09</v>
      </c>
      <c r="G262" s="37">
        <f t="shared" si="11"/>
        <v>0</v>
      </c>
      <c r="H262" s="37">
        <f t="shared" si="11"/>
        <v>0</v>
      </c>
      <c r="I262" s="38">
        <f t="shared" si="12"/>
        <v>0</v>
      </c>
      <c r="J262" s="66"/>
      <c r="K262" s="66"/>
      <c r="L262" s="66"/>
      <c r="M262" s="66"/>
      <c r="N262" s="66"/>
      <c r="O262" s="66"/>
      <c r="P262" s="96"/>
      <c r="Q262" s="66"/>
      <c r="R262" s="70"/>
      <c r="S262" s="70"/>
      <c r="AF262" s="5"/>
      <c r="AG262" s="5"/>
      <c r="AH262" s="89"/>
      <c r="AI262" s="89"/>
    </row>
    <row r="263" spans="2:60" ht="17.100000000000001" customHeight="1" x14ac:dyDescent="0.2">
      <c r="B263" s="114"/>
      <c r="C263" s="116">
        <v>3402</v>
      </c>
      <c r="D263" s="44"/>
      <c r="E263" s="35" t="s">
        <v>64</v>
      </c>
      <c r="F263" s="36">
        <v>0.06</v>
      </c>
      <c r="G263" s="37">
        <f t="shared" si="11"/>
        <v>591360.48</v>
      </c>
      <c r="H263" s="37">
        <f t="shared" si="11"/>
        <v>591360.48</v>
      </c>
      <c r="I263" s="38">
        <f t="shared" si="12"/>
        <v>0</v>
      </c>
      <c r="J263" s="66"/>
      <c r="K263" s="66"/>
      <c r="L263" s="66"/>
      <c r="M263" s="66"/>
      <c r="N263" s="66"/>
      <c r="O263" s="66"/>
      <c r="P263" s="96"/>
      <c r="Q263" s="66"/>
      <c r="R263" s="70"/>
      <c r="S263" s="70"/>
      <c r="AF263" s="5"/>
      <c r="AG263" s="5"/>
      <c r="AH263" s="89"/>
      <c r="AI263" s="89"/>
      <c r="AP263" s="3">
        <v>291401.82</v>
      </c>
      <c r="AR263" s="3">
        <v>27201.75</v>
      </c>
      <c r="AU263" s="5">
        <v>32385.65</v>
      </c>
      <c r="AW263" s="5">
        <v>42964.32</v>
      </c>
      <c r="AX263" s="5">
        <v>42964.32</v>
      </c>
      <c r="AY263" s="3">
        <v>99657.18</v>
      </c>
      <c r="AZ263" s="3">
        <v>99657.18</v>
      </c>
      <c r="BC263" s="3">
        <v>48874.879999999997</v>
      </c>
      <c r="BD263" s="3">
        <v>48874.879999999997</v>
      </c>
      <c r="BG263" s="3">
        <v>48874.879999999997</v>
      </c>
      <c r="BH263" s="3">
        <v>399864.1</v>
      </c>
    </row>
    <row r="264" spans="2:60" ht="17.100000000000001" customHeight="1" x14ac:dyDescent="0.2">
      <c r="B264" s="73"/>
      <c r="C264" s="116">
        <v>4317</v>
      </c>
      <c r="D264" s="42" t="s">
        <v>176</v>
      </c>
      <c r="E264" s="35" t="s">
        <v>62</v>
      </c>
      <c r="F264" s="36">
        <v>0.13</v>
      </c>
      <c r="G264" s="37">
        <f t="shared" si="11"/>
        <v>0</v>
      </c>
      <c r="H264" s="37">
        <f t="shared" si="11"/>
        <v>0</v>
      </c>
      <c r="I264" s="38">
        <f t="shared" si="12"/>
        <v>0</v>
      </c>
      <c r="J264" s="66"/>
      <c r="K264" s="66"/>
      <c r="L264" s="66"/>
      <c r="M264" s="66"/>
      <c r="N264" s="66"/>
      <c r="O264" s="66"/>
      <c r="P264" s="96"/>
      <c r="Q264" s="66"/>
      <c r="R264" s="70"/>
      <c r="S264" s="70"/>
      <c r="AF264" s="5"/>
      <c r="AG264" s="5"/>
      <c r="AH264" s="89"/>
      <c r="AI264" s="89"/>
    </row>
    <row r="265" spans="2:60" ht="17.100000000000001" customHeight="1" x14ac:dyDescent="0.2">
      <c r="B265" s="114"/>
      <c r="C265" s="116">
        <v>4317</v>
      </c>
      <c r="D265" s="44"/>
      <c r="E265" s="35" t="s">
        <v>63</v>
      </c>
      <c r="F265" s="36">
        <v>0.09</v>
      </c>
      <c r="G265" s="37">
        <f t="shared" si="11"/>
        <v>0</v>
      </c>
      <c r="H265" s="37">
        <f t="shared" si="11"/>
        <v>0</v>
      </c>
      <c r="I265" s="38">
        <f t="shared" si="12"/>
        <v>0</v>
      </c>
      <c r="J265" s="66"/>
      <c r="K265" s="66"/>
      <c r="L265" s="66"/>
      <c r="M265" s="66"/>
      <c r="N265" s="66"/>
      <c r="O265" s="66"/>
      <c r="P265" s="96"/>
      <c r="Q265" s="66"/>
      <c r="R265" s="70"/>
      <c r="S265" s="70"/>
      <c r="AF265" s="5"/>
      <c r="AG265" s="5"/>
      <c r="AH265" s="89"/>
      <c r="AI265" s="89"/>
    </row>
    <row r="266" spans="2:60" ht="17.100000000000001" customHeight="1" x14ac:dyDescent="0.2">
      <c r="B266" s="114"/>
      <c r="C266" s="116">
        <v>4317</v>
      </c>
      <c r="D266" s="44"/>
      <c r="E266" s="35" t="s">
        <v>64</v>
      </c>
      <c r="F266" s="36">
        <v>0.06</v>
      </c>
      <c r="G266" s="37">
        <f t="shared" ref="G266:H329" si="13">SUM(J266,L266,N266,P266,R266,T266,V266,X266,Z266,AB266,AD266,AF266,AH266,AJ266,AL266,AN266,AP266,AR266,AU266,AW266,AY266,BC266,BG266)</f>
        <v>221133.01</v>
      </c>
      <c r="H266" s="37">
        <f t="shared" si="13"/>
        <v>221133.01</v>
      </c>
      <c r="I266" s="38">
        <f t="shared" si="12"/>
        <v>0</v>
      </c>
      <c r="J266" s="66"/>
      <c r="K266" s="66"/>
      <c r="L266" s="66"/>
      <c r="M266" s="66"/>
      <c r="N266" s="66"/>
      <c r="O266" s="66"/>
      <c r="P266" s="96"/>
      <c r="Q266" s="66"/>
      <c r="R266" s="70"/>
      <c r="S266" s="70"/>
      <c r="AF266" s="5"/>
      <c r="AG266" s="5"/>
      <c r="AH266" s="89"/>
      <c r="AI266" s="89"/>
      <c r="AP266" s="3">
        <v>165567.75</v>
      </c>
      <c r="BC266" s="3">
        <v>25763.51</v>
      </c>
      <c r="BD266" s="3">
        <v>29801.75</v>
      </c>
      <c r="BG266" s="3">
        <v>29801.75</v>
      </c>
      <c r="BH266" s="3">
        <v>191331.26</v>
      </c>
    </row>
    <row r="267" spans="2:60" ht="17.100000000000001" customHeight="1" x14ac:dyDescent="0.2">
      <c r="B267" s="73"/>
      <c r="C267" s="116">
        <v>4316</v>
      </c>
      <c r="D267" s="42" t="s">
        <v>177</v>
      </c>
      <c r="E267" s="35" t="s">
        <v>62</v>
      </c>
      <c r="F267" s="36">
        <v>0.13</v>
      </c>
      <c r="G267" s="37">
        <f t="shared" si="13"/>
        <v>0</v>
      </c>
      <c r="H267" s="37">
        <f t="shared" si="13"/>
        <v>0</v>
      </c>
      <c r="I267" s="38">
        <f t="shared" si="12"/>
        <v>0</v>
      </c>
      <c r="J267" s="66"/>
      <c r="K267" s="66"/>
      <c r="L267" s="66"/>
      <c r="M267" s="66"/>
      <c r="N267" s="66"/>
      <c r="O267" s="66"/>
      <c r="P267" s="96"/>
      <c r="Q267" s="66"/>
      <c r="R267" s="70"/>
      <c r="S267" s="70"/>
      <c r="AF267" s="5"/>
      <c r="AG267" s="5"/>
      <c r="AH267" s="89"/>
      <c r="AI267" s="89"/>
    </row>
    <row r="268" spans="2:60" ht="17.100000000000001" customHeight="1" x14ac:dyDescent="0.2">
      <c r="B268" s="114"/>
      <c r="C268" s="116">
        <v>4316</v>
      </c>
      <c r="D268" s="44"/>
      <c r="E268" s="35" t="s">
        <v>63</v>
      </c>
      <c r="F268" s="36">
        <v>0.09</v>
      </c>
      <c r="G268" s="37">
        <f t="shared" si="13"/>
        <v>0</v>
      </c>
      <c r="H268" s="37">
        <f t="shared" si="13"/>
        <v>0</v>
      </c>
      <c r="I268" s="38">
        <f t="shared" si="12"/>
        <v>0</v>
      </c>
      <c r="J268" s="66"/>
      <c r="K268" s="66"/>
      <c r="L268" s="66"/>
      <c r="M268" s="66"/>
      <c r="N268" s="66"/>
      <c r="O268" s="66"/>
      <c r="P268" s="96"/>
      <c r="Q268" s="66"/>
      <c r="R268" s="70"/>
      <c r="S268" s="70"/>
      <c r="AF268" s="5"/>
      <c r="AG268" s="5"/>
      <c r="AH268" s="89"/>
      <c r="AI268" s="89"/>
    </row>
    <row r="269" spans="2:60" ht="17.100000000000001" customHeight="1" x14ac:dyDescent="0.2">
      <c r="B269" s="114"/>
      <c r="C269" s="116">
        <v>4316</v>
      </c>
      <c r="D269" s="44"/>
      <c r="E269" s="35" t="s">
        <v>64</v>
      </c>
      <c r="F269" s="36">
        <v>0.06</v>
      </c>
      <c r="G269" s="37">
        <f t="shared" si="13"/>
        <v>471287.06999999995</v>
      </c>
      <c r="H269" s="37">
        <f t="shared" si="13"/>
        <v>471287.06</v>
      </c>
      <c r="I269" s="38">
        <f t="shared" si="12"/>
        <v>9.9999999511055648E-3</v>
      </c>
      <c r="J269" s="66"/>
      <c r="K269" s="66"/>
      <c r="L269" s="66"/>
      <c r="M269" s="66"/>
      <c r="N269" s="66"/>
      <c r="O269" s="66"/>
      <c r="P269" s="96"/>
      <c r="Q269" s="66"/>
      <c r="R269" s="70"/>
      <c r="S269" s="70"/>
      <c r="AF269" s="5"/>
      <c r="AG269" s="5"/>
      <c r="AH269" s="89"/>
      <c r="AI269" s="89"/>
      <c r="AP269" s="3">
        <v>227777.19</v>
      </c>
      <c r="AR269" s="3">
        <v>30934.63</v>
      </c>
      <c r="AY269" s="3">
        <v>155804.76999999999</v>
      </c>
      <c r="AZ269" s="3">
        <v>416173.87</v>
      </c>
      <c r="BC269" s="3">
        <v>28385.24</v>
      </c>
      <c r="BD269" s="3">
        <v>26727.95</v>
      </c>
      <c r="BG269" s="3">
        <v>28385.24</v>
      </c>
      <c r="BH269" s="3">
        <v>28385.24</v>
      </c>
    </row>
    <row r="270" spans="2:60" ht="17.100000000000001" customHeight="1" x14ac:dyDescent="0.2">
      <c r="B270" s="73"/>
      <c r="C270" s="116">
        <v>4315</v>
      </c>
      <c r="D270" s="42" t="s">
        <v>178</v>
      </c>
      <c r="E270" s="35" t="s">
        <v>62</v>
      </c>
      <c r="F270" s="36">
        <v>0.13</v>
      </c>
      <c r="G270" s="37">
        <f t="shared" si="13"/>
        <v>0</v>
      </c>
      <c r="H270" s="37">
        <f t="shared" si="13"/>
        <v>0</v>
      </c>
      <c r="I270" s="38">
        <f t="shared" si="12"/>
        <v>0</v>
      </c>
      <c r="J270" s="66"/>
      <c r="K270" s="66"/>
      <c r="L270" s="66"/>
      <c r="M270" s="66"/>
      <c r="N270" s="66"/>
      <c r="O270" s="66"/>
      <c r="P270" s="96"/>
      <c r="Q270" s="66"/>
      <c r="R270" s="70"/>
      <c r="S270" s="70"/>
      <c r="AF270" s="5"/>
      <c r="AG270" s="5"/>
      <c r="AH270" s="89"/>
      <c r="AI270" s="89"/>
    </row>
    <row r="271" spans="2:60" ht="17.100000000000001" customHeight="1" x14ac:dyDescent="0.2">
      <c r="B271" s="114"/>
      <c r="C271" s="116">
        <v>4315</v>
      </c>
      <c r="D271" s="44"/>
      <c r="E271" s="35" t="s">
        <v>63</v>
      </c>
      <c r="F271" s="36">
        <v>0.09</v>
      </c>
      <c r="G271" s="37">
        <f t="shared" si="13"/>
        <v>0</v>
      </c>
      <c r="H271" s="37">
        <f t="shared" si="13"/>
        <v>0</v>
      </c>
      <c r="I271" s="38">
        <f t="shared" ref="I271:I332" si="14">G271-H271</f>
        <v>0</v>
      </c>
      <c r="J271" s="66"/>
      <c r="K271" s="66"/>
      <c r="L271" s="66"/>
      <c r="M271" s="66"/>
      <c r="N271" s="66"/>
      <c r="O271" s="66"/>
      <c r="P271" s="96"/>
      <c r="Q271" s="66"/>
      <c r="R271" s="70"/>
      <c r="S271" s="70"/>
      <c r="AF271" s="5"/>
      <c r="AG271" s="5"/>
      <c r="AH271" s="89"/>
      <c r="AI271" s="89"/>
    </row>
    <row r="272" spans="2:60" ht="17.100000000000001" customHeight="1" x14ac:dyDescent="0.2">
      <c r="B272" s="114"/>
      <c r="C272" s="116">
        <v>4315</v>
      </c>
      <c r="D272" s="44"/>
      <c r="E272" s="35" t="s">
        <v>64</v>
      </c>
      <c r="F272" s="36">
        <v>0.06</v>
      </c>
      <c r="G272" s="37">
        <f t="shared" si="13"/>
        <v>471287.05999999994</v>
      </c>
      <c r="H272" s="37">
        <f t="shared" si="13"/>
        <v>471287.05</v>
      </c>
      <c r="I272" s="38">
        <f t="shared" si="14"/>
        <v>9.9999999511055648E-3</v>
      </c>
      <c r="J272" s="66"/>
      <c r="K272" s="66"/>
      <c r="L272" s="66"/>
      <c r="M272" s="66"/>
      <c r="N272" s="66"/>
      <c r="O272" s="66"/>
      <c r="P272" s="96"/>
      <c r="Q272" s="66"/>
      <c r="R272" s="70"/>
      <c r="S272" s="70"/>
      <c r="AF272" s="5"/>
      <c r="AG272" s="5"/>
      <c r="AH272" s="89"/>
      <c r="AI272" s="89"/>
      <c r="AP272" s="3">
        <v>227777.2</v>
      </c>
      <c r="AR272" s="3">
        <v>30934.61</v>
      </c>
      <c r="AY272" s="3">
        <v>155804.76999999999</v>
      </c>
      <c r="AZ272" s="3">
        <v>416173.86</v>
      </c>
      <c r="BC272" s="3">
        <v>28385.24</v>
      </c>
      <c r="BD272" s="3">
        <v>26727.95</v>
      </c>
      <c r="BG272" s="3">
        <v>28385.24</v>
      </c>
      <c r="BH272" s="3">
        <v>28385.24</v>
      </c>
    </row>
    <row r="273" spans="2:60" ht="17.100000000000001" customHeight="1" x14ac:dyDescent="0.2">
      <c r="B273" s="55"/>
      <c r="C273" s="115">
        <v>4670</v>
      </c>
      <c r="D273" s="94" t="s">
        <v>179</v>
      </c>
      <c r="E273" s="35" t="s">
        <v>62</v>
      </c>
      <c r="F273" s="36">
        <v>0.13</v>
      </c>
      <c r="G273" s="37">
        <f t="shared" si="13"/>
        <v>0</v>
      </c>
      <c r="H273" s="37">
        <f t="shared" si="13"/>
        <v>0</v>
      </c>
      <c r="I273" s="38">
        <f t="shared" si="14"/>
        <v>0</v>
      </c>
      <c r="J273" s="66"/>
      <c r="K273" s="66"/>
      <c r="L273" s="66"/>
      <c r="M273" s="66"/>
      <c r="N273" s="66"/>
      <c r="O273" s="66"/>
      <c r="P273" s="96"/>
      <c r="Q273" s="66"/>
      <c r="R273" s="70"/>
      <c r="S273" s="70"/>
      <c r="AF273" s="5"/>
      <c r="AG273" s="5"/>
      <c r="AH273" s="89"/>
      <c r="AI273" s="89"/>
    </row>
    <row r="274" spans="2:60" ht="17.100000000000001" customHeight="1" x14ac:dyDescent="0.2">
      <c r="B274" s="55"/>
      <c r="C274" s="115">
        <v>4670</v>
      </c>
      <c r="D274" s="94"/>
      <c r="E274" s="35" t="s">
        <v>63</v>
      </c>
      <c r="F274" s="36">
        <v>0.09</v>
      </c>
      <c r="G274" s="37">
        <f t="shared" si="13"/>
        <v>0</v>
      </c>
      <c r="H274" s="37">
        <f t="shared" si="13"/>
        <v>0</v>
      </c>
      <c r="I274" s="38">
        <f t="shared" si="14"/>
        <v>0</v>
      </c>
      <c r="J274" s="66"/>
      <c r="K274" s="66"/>
      <c r="L274" s="66"/>
      <c r="M274" s="66"/>
      <c r="N274" s="66"/>
      <c r="O274" s="66"/>
      <c r="P274" s="96"/>
      <c r="Q274" s="66"/>
      <c r="R274" s="70"/>
      <c r="S274" s="70"/>
      <c r="AF274" s="5"/>
      <c r="AG274" s="5"/>
      <c r="AH274" s="89"/>
      <c r="AI274" s="89"/>
    </row>
    <row r="275" spans="2:60" ht="17.100000000000001" customHeight="1" x14ac:dyDescent="0.2">
      <c r="B275" s="73"/>
      <c r="C275" s="116">
        <v>4670</v>
      </c>
      <c r="D275" s="42"/>
      <c r="E275" s="35" t="s">
        <v>64</v>
      </c>
      <c r="F275" s="36">
        <v>0.06</v>
      </c>
      <c r="G275" s="37">
        <f t="shared" si="13"/>
        <v>591385.40999999992</v>
      </c>
      <c r="H275" s="37">
        <f t="shared" si="13"/>
        <v>494555.87</v>
      </c>
      <c r="I275" s="38">
        <f t="shared" si="14"/>
        <v>96829.539999999921</v>
      </c>
      <c r="J275" s="66"/>
      <c r="K275" s="66"/>
      <c r="L275" s="66"/>
      <c r="M275" s="66"/>
      <c r="N275" s="66"/>
      <c r="O275" s="66"/>
      <c r="P275" s="96"/>
      <c r="Q275" s="66"/>
      <c r="R275" s="70"/>
      <c r="S275" s="70"/>
      <c r="AF275" s="5"/>
      <c r="AG275" s="5"/>
      <c r="AH275" s="89"/>
      <c r="AI275" s="89"/>
      <c r="AR275" s="3">
        <v>538758.72</v>
      </c>
      <c r="AS275" s="5">
        <v>494555.87</v>
      </c>
      <c r="AU275" s="5">
        <v>52626.69</v>
      </c>
    </row>
    <row r="276" spans="2:60" ht="17.100000000000001" customHeight="1" x14ac:dyDescent="0.2">
      <c r="B276" s="73"/>
      <c r="C276" s="116">
        <v>4690</v>
      </c>
      <c r="D276" s="42" t="s">
        <v>180</v>
      </c>
      <c r="E276" s="35" t="s">
        <v>62</v>
      </c>
      <c r="F276" s="36">
        <v>0.13</v>
      </c>
      <c r="G276" s="37">
        <f t="shared" si="13"/>
        <v>0</v>
      </c>
      <c r="H276" s="37">
        <f t="shared" si="13"/>
        <v>0</v>
      </c>
      <c r="I276" s="38">
        <f t="shared" si="14"/>
        <v>0</v>
      </c>
      <c r="J276" s="66"/>
      <c r="K276" s="66"/>
      <c r="L276" s="66"/>
      <c r="M276" s="66"/>
      <c r="N276" s="66"/>
      <c r="O276" s="66"/>
      <c r="P276" s="96"/>
      <c r="Q276" s="66"/>
      <c r="R276" s="70"/>
      <c r="S276" s="70"/>
      <c r="AF276" s="5"/>
      <c r="AG276" s="5"/>
      <c r="AH276" s="89"/>
      <c r="AI276" s="89"/>
    </row>
    <row r="277" spans="2:60" ht="17.100000000000001" customHeight="1" x14ac:dyDescent="0.2">
      <c r="B277" s="114"/>
      <c r="C277" s="116">
        <v>4690</v>
      </c>
      <c r="D277" s="44"/>
      <c r="E277" s="35" t="s">
        <v>63</v>
      </c>
      <c r="F277" s="36">
        <v>0.09</v>
      </c>
      <c r="G277" s="37">
        <f t="shared" si="13"/>
        <v>0</v>
      </c>
      <c r="H277" s="37">
        <f t="shared" si="13"/>
        <v>0</v>
      </c>
      <c r="I277" s="38">
        <f t="shared" si="14"/>
        <v>0</v>
      </c>
      <c r="J277" s="66"/>
      <c r="K277" s="66"/>
      <c r="L277" s="66"/>
      <c r="M277" s="66"/>
      <c r="N277" s="66"/>
      <c r="O277" s="66"/>
      <c r="P277" s="96"/>
      <c r="Q277" s="66"/>
      <c r="R277" s="70"/>
      <c r="S277" s="70"/>
      <c r="AF277" s="5"/>
      <c r="AG277" s="5"/>
      <c r="AH277" s="89"/>
      <c r="AI277" s="89"/>
    </row>
    <row r="278" spans="2:60" ht="17.100000000000001" customHeight="1" x14ac:dyDescent="0.2">
      <c r="B278" s="114"/>
      <c r="C278" s="116">
        <v>4690</v>
      </c>
      <c r="D278" s="44"/>
      <c r="E278" s="35" t="s">
        <v>64</v>
      </c>
      <c r="F278" s="36">
        <v>0.06</v>
      </c>
      <c r="G278" s="37">
        <f t="shared" si="13"/>
        <v>735667.80999999994</v>
      </c>
      <c r="H278" s="37">
        <f t="shared" si="13"/>
        <v>104699.65</v>
      </c>
      <c r="I278" s="38">
        <f t="shared" si="14"/>
        <v>630968.15999999992</v>
      </c>
      <c r="J278" s="66"/>
      <c r="K278" s="66"/>
      <c r="L278" s="66"/>
      <c r="M278" s="66"/>
      <c r="N278" s="66"/>
      <c r="O278" s="66"/>
      <c r="P278" s="96"/>
      <c r="Q278" s="66"/>
      <c r="R278" s="70"/>
      <c r="S278" s="70"/>
      <c r="AF278" s="5"/>
      <c r="AG278" s="5"/>
      <c r="AH278" s="89"/>
      <c r="AI278" s="89"/>
      <c r="AP278" s="3">
        <v>556483.9</v>
      </c>
      <c r="AR278" s="3">
        <v>34002.19</v>
      </c>
      <c r="AU278" s="5">
        <v>40482.07</v>
      </c>
      <c r="AW278" s="5">
        <v>21289.32</v>
      </c>
      <c r="AX278" s="5">
        <v>21289.32</v>
      </c>
      <c r="AY278" s="3">
        <v>83410.33</v>
      </c>
      <c r="AZ278" s="3">
        <v>83410.33</v>
      </c>
    </row>
    <row r="279" spans="2:60" ht="17.100000000000001" customHeight="1" x14ac:dyDescent="0.2">
      <c r="B279" s="73"/>
      <c r="C279" s="116">
        <v>4312</v>
      </c>
      <c r="D279" s="42" t="s">
        <v>181</v>
      </c>
      <c r="E279" s="35" t="s">
        <v>62</v>
      </c>
      <c r="F279" s="36">
        <v>0.13</v>
      </c>
      <c r="G279" s="37">
        <f t="shared" si="13"/>
        <v>0</v>
      </c>
      <c r="H279" s="37">
        <f t="shared" si="13"/>
        <v>0</v>
      </c>
      <c r="I279" s="38">
        <f t="shared" si="14"/>
        <v>0</v>
      </c>
      <c r="J279" s="66"/>
      <c r="K279" s="66"/>
      <c r="L279" s="66"/>
      <c r="M279" s="66"/>
      <c r="N279" s="66"/>
      <c r="O279" s="66"/>
      <c r="P279" s="96"/>
      <c r="Q279" s="66"/>
      <c r="R279" s="70"/>
      <c r="S279" s="70"/>
      <c r="AF279" s="5"/>
      <c r="AG279" s="5"/>
      <c r="AH279" s="89"/>
      <c r="AI279" s="89"/>
    </row>
    <row r="280" spans="2:60" ht="17.100000000000001" customHeight="1" x14ac:dyDescent="0.2">
      <c r="B280" s="114"/>
      <c r="C280" s="116">
        <v>4312</v>
      </c>
      <c r="D280" s="44"/>
      <c r="E280" s="35" t="s">
        <v>63</v>
      </c>
      <c r="F280" s="36">
        <v>0.09</v>
      </c>
      <c r="G280" s="37">
        <f t="shared" si="13"/>
        <v>0</v>
      </c>
      <c r="H280" s="37">
        <f t="shared" si="13"/>
        <v>0</v>
      </c>
      <c r="I280" s="38">
        <f t="shared" si="14"/>
        <v>0</v>
      </c>
      <c r="J280" s="66"/>
      <c r="K280" s="66"/>
      <c r="L280" s="66"/>
      <c r="M280" s="66"/>
      <c r="N280" s="66"/>
      <c r="O280" s="66"/>
      <c r="P280" s="96"/>
      <c r="Q280" s="66"/>
      <c r="R280" s="70"/>
      <c r="S280" s="70"/>
      <c r="AF280" s="5"/>
      <c r="AG280" s="5"/>
      <c r="AH280" s="89"/>
      <c r="AI280" s="89"/>
    </row>
    <row r="281" spans="2:60" ht="17.100000000000001" customHeight="1" x14ac:dyDescent="0.2">
      <c r="B281" s="114"/>
      <c r="C281" s="116">
        <v>4312</v>
      </c>
      <c r="D281" s="44"/>
      <c r="E281" s="35" t="s">
        <v>64</v>
      </c>
      <c r="F281" s="36">
        <v>0.06</v>
      </c>
      <c r="G281" s="37">
        <f t="shared" si="13"/>
        <v>348053.19</v>
      </c>
      <c r="H281" s="37">
        <f t="shared" si="13"/>
        <v>0</v>
      </c>
      <c r="I281" s="38">
        <f t="shared" si="14"/>
        <v>348053.19</v>
      </c>
      <c r="J281" s="66"/>
      <c r="K281" s="66"/>
      <c r="L281" s="66"/>
      <c r="M281" s="66"/>
      <c r="N281" s="66"/>
      <c r="O281" s="66"/>
      <c r="P281" s="96"/>
      <c r="Q281" s="66"/>
      <c r="R281" s="70"/>
      <c r="S281" s="70"/>
      <c r="AF281" s="5"/>
      <c r="AG281" s="5"/>
      <c r="AH281" s="89"/>
      <c r="AI281" s="89"/>
      <c r="AP281" s="3">
        <v>348053.19</v>
      </c>
    </row>
    <row r="282" spans="2:60" ht="17.100000000000001" customHeight="1" x14ac:dyDescent="0.2">
      <c r="B282" s="73"/>
      <c r="C282" s="116">
        <v>4318</v>
      </c>
      <c r="D282" s="42" t="s">
        <v>182</v>
      </c>
      <c r="E282" s="35" t="s">
        <v>62</v>
      </c>
      <c r="F282" s="36">
        <v>0.13</v>
      </c>
      <c r="G282" s="37">
        <f t="shared" si="13"/>
        <v>0</v>
      </c>
      <c r="H282" s="37">
        <f t="shared" si="13"/>
        <v>0</v>
      </c>
      <c r="I282" s="38">
        <f t="shared" si="14"/>
        <v>0</v>
      </c>
      <c r="J282" s="66"/>
      <c r="K282" s="66"/>
      <c r="L282" s="66"/>
      <c r="M282" s="66"/>
      <c r="N282" s="66"/>
      <c r="O282" s="66"/>
      <c r="P282" s="96"/>
      <c r="Q282" s="66"/>
      <c r="R282" s="70"/>
      <c r="S282" s="70"/>
      <c r="AF282" s="5"/>
      <c r="AG282" s="5"/>
      <c r="AH282" s="89"/>
      <c r="AI282" s="89"/>
    </row>
    <row r="283" spans="2:60" ht="17.100000000000001" customHeight="1" x14ac:dyDescent="0.2">
      <c r="B283" s="114"/>
      <c r="C283" s="116">
        <v>4318</v>
      </c>
      <c r="D283" s="44"/>
      <c r="E283" s="35" t="s">
        <v>63</v>
      </c>
      <c r="F283" s="36">
        <v>0.09</v>
      </c>
      <c r="G283" s="37">
        <f t="shared" si="13"/>
        <v>0</v>
      </c>
      <c r="H283" s="37">
        <f t="shared" si="13"/>
        <v>0</v>
      </c>
      <c r="I283" s="38">
        <f t="shared" si="14"/>
        <v>0</v>
      </c>
      <c r="J283" s="66"/>
      <c r="K283" s="66"/>
      <c r="L283" s="66"/>
      <c r="M283" s="66"/>
      <c r="N283" s="66"/>
      <c r="O283" s="66"/>
      <c r="P283" s="96"/>
      <c r="Q283" s="66"/>
      <c r="R283" s="70"/>
      <c r="S283" s="70"/>
      <c r="AF283" s="5"/>
      <c r="AG283" s="5"/>
      <c r="AH283" s="89"/>
      <c r="AI283" s="89"/>
    </row>
    <row r="284" spans="2:60" ht="17.100000000000001" customHeight="1" x14ac:dyDescent="0.2">
      <c r="B284" s="114"/>
      <c r="C284" s="116">
        <v>4318</v>
      </c>
      <c r="D284" s="44"/>
      <c r="E284" s="35" t="s">
        <v>64</v>
      </c>
      <c r="F284" s="36">
        <v>0.06</v>
      </c>
      <c r="G284" s="37">
        <f t="shared" si="13"/>
        <v>643691.72</v>
      </c>
      <c r="H284" s="37">
        <f t="shared" si="13"/>
        <v>643691.72</v>
      </c>
      <c r="I284" s="38">
        <f t="shared" si="14"/>
        <v>0</v>
      </c>
      <c r="J284" s="66"/>
      <c r="K284" s="66"/>
      <c r="L284" s="66"/>
      <c r="M284" s="66"/>
      <c r="N284" s="66"/>
      <c r="O284" s="66"/>
      <c r="P284" s="96"/>
      <c r="Q284" s="66"/>
      <c r="R284" s="70"/>
      <c r="S284" s="70"/>
      <c r="AF284" s="5"/>
      <c r="AG284" s="5"/>
      <c r="AH284" s="89"/>
      <c r="AI284" s="89"/>
      <c r="AP284" s="3">
        <v>411608.05</v>
      </c>
      <c r="AR284" s="3">
        <v>34002.19</v>
      </c>
      <c r="AU284" s="5">
        <v>40482.07</v>
      </c>
      <c r="AW284" s="5">
        <v>21289.32</v>
      </c>
      <c r="AX284" s="5">
        <v>21289.32</v>
      </c>
      <c r="AY284" s="3">
        <v>83410.33</v>
      </c>
      <c r="AZ284" s="3">
        <v>83410.33</v>
      </c>
      <c r="BC284" s="3">
        <v>26449.88</v>
      </c>
      <c r="BD284" s="3">
        <v>26449.88</v>
      </c>
      <c r="BG284" s="3">
        <v>26449.88</v>
      </c>
      <c r="BH284" s="3">
        <v>512542.19</v>
      </c>
    </row>
    <row r="285" spans="2:60" ht="17.100000000000001" customHeight="1" x14ac:dyDescent="0.2">
      <c r="B285" s="73"/>
      <c r="C285" s="116">
        <v>4650</v>
      </c>
      <c r="D285" s="42" t="s">
        <v>183</v>
      </c>
      <c r="E285" s="35" t="s">
        <v>62</v>
      </c>
      <c r="F285" s="36">
        <v>0.13</v>
      </c>
      <c r="G285" s="37">
        <f t="shared" si="13"/>
        <v>0</v>
      </c>
      <c r="H285" s="37">
        <f t="shared" si="13"/>
        <v>0</v>
      </c>
      <c r="I285" s="38">
        <f t="shared" si="14"/>
        <v>0</v>
      </c>
      <c r="J285" s="66"/>
      <c r="K285" s="66"/>
      <c r="L285" s="66"/>
      <c r="M285" s="66"/>
      <c r="N285" s="66"/>
      <c r="O285" s="66"/>
      <c r="P285" s="96"/>
      <c r="Q285" s="66"/>
      <c r="R285" s="70"/>
      <c r="S285" s="70"/>
      <c r="AF285" s="5"/>
      <c r="AG285" s="5"/>
      <c r="AH285" s="89"/>
      <c r="AI285" s="89"/>
    </row>
    <row r="286" spans="2:60" ht="17.100000000000001" customHeight="1" x14ac:dyDescent="0.2">
      <c r="B286" s="114"/>
      <c r="C286" s="116">
        <v>4650</v>
      </c>
      <c r="D286" s="44"/>
      <c r="E286" s="35" t="s">
        <v>63</v>
      </c>
      <c r="F286" s="36">
        <v>0.09</v>
      </c>
      <c r="G286" s="37">
        <f t="shared" si="13"/>
        <v>0</v>
      </c>
      <c r="H286" s="37">
        <f t="shared" si="13"/>
        <v>0</v>
      </c>
      <c r="I286" s="38">
        <f t="shared" si="14"/>
        <v>0</v>
      </c>
      <c r="J286" s="66"/>
      <c r="K286" s="66"/>
      <c r="L286" s="66"/>
      <c r="M286" s="66"/>
      <c r="N286" s="66"/>
      <c r="O286" s="66"/>
      <c r="P286" s="96"/>
      <c r="Q286" s="66"/>
      <c r="R286" s="70"/>
      <c r="S286" s="70"/>
      <c r="AF286" s="5"/>
      <c r="AG286" s="5"/>
      <c r="AH286" s="89"/>
      <c r="AI286" s="89"/>
    </row>
    <row r="287" spans="2:60" ht="17.100000000000001" customHeight="1" x14ac:dyDescent="0.2">
      <c r="B287" s="114"/>
      <c r="C287" s="116">
        <v>4650</v>
      </c>
      <c r="D287" s="44"/>
      <c r="E287" s="35" t="s">
        <v>64</v>
      </c>
      <c r="F287" s="36">
        <v>0.06</v>
      </c>
      <c r="G287" s="37">
        <f t="shared" si="13"/>
        <v>261256.84999999998</v>
      </c>
      <c r="H287" s="37">
        <f t="shared" si="13"/>
        <v>261256.84999999998</v>
      </c>
      <c r="I287" s="38">
        <f t="shared" si="14"/>
        <v>0</v>
      </c>
      <c r="J287" s="66"/>
      <c r="K287" s="66"/>
      <c r="L287" s="66"/>
      <c r="M287" s="66"/>
      <c r="N287" s="66"/>
      <c r="O287" s="66"/>
      <c r="P287" s="96"/>
      <c r="Q287" s="66"/>
      <c r="R287" s="70"/>
      <c r="S287" s="70"/>
      <c r="AF287" s="5"/>
      <c r="AG287" s="5"/>
      <c r="AH287" s="89"/>
      <c r="AI287" s="89"/>
      <c r="AP287" s="3">
        <v>25979.69</v>
      </c>
      <c r="AQ287" s="3">
        <v>25979.69</v>
      </c>
      <c r="AR287" s="3">
        <v>39352.480000000003</v>
      </c>
      <c r="AS287" s="5">
        <v>39352.480000000003</v>
      </c>
      <c r="AU287" s="5">
        <v>53060.01</v>
      </c>
      <c r="AV287" s="5">
        <v>53060.01</v>
      </c>
      <c r="AW287" s="5">
        <v>32416.09</v>
      </c>
      <c r="AX287" s="5">
        <v>32416.09</v>
      </c>
      <c r="AY287" s="3">
        <v>41161.14</v>
      </c>
      <c r="AZ287" s="3">
        <v>41161.14</v>
      </c>
      <c r="BC287" s="3">
        <v>34643.72</v>
      </c>
      <c r="BD287" s="3">
        <v>34643.72</v>
      </c>
      <c r="BG287" s="3">
        <v>34643.72</v>
      </c>
      <c r="BH287" s="3">
        <v>34643.72</v>
      </c>
    </row>
    <row r="288" spans="2:60" ht="17.100000000000001" customHeight="1" x14ac:dyDescent="0.2">
      <c r="B288" s="73"/>
      <c r="C288" s="116" t="s">
        <v>184</v>
      </c>
      <c r="D288" s="42" t="s">
        <v>119</v>
      </c>
      <c r="E288" s="35" t="s">
        <v>62</v>
      </c>
      <c r="F288" s="36">
        <v>0.13</v>
      </c>
      <c r="G288" s="37">
        <f t="shared" si="13"/>
        <v>1908534044.02</v>
      </c>
      <c r="H288" s="37">
        <f t="shared" si="13"/>
        <v>0</v>
      </c>
      <c r="I288" s="38"/>
      <c r="J288" s="66"/>
      <c r="K288" s="66"/>
      <c r="L288" s="66"/>
      <c r="M288" s="66"/>
      <c r="N288" s="66"/>
      <c r="O288" s="66"/>
      <c r="P288" s="96"/>
      <c r="Q288" s="66"/>
      <c r="R288" s="70"/>
      <c r="S288" s="70"/>
      <c r="AF288" s="5"/>
      <c r="AG288" s="5"/>
      <c r="AH288" s="89"/>
      <c r="AI288" s="89"/>
      <c r="BC288" s="3">
        <v>1341450437.49</v>
      </c>
      <c r="BG288" s="3">
        <v>567083606.52999997</v>
      </c>
    </row>
    <row r="289" spans="2:60" ht="17.100000000000001" customHeight="1" x14ac:dyDescent="0.2">
      <c r="B289" s="114"/>
      <c r="C289" s="116" t="s">
        <v>184</v>
      </c>
      <c r="D289" s="44"/>
      <c r="E289" s="35" t="s">
        <v>63</v>
      </c>
      <c r="F289" s="36">
        <v>0.09</v>
      </c>
      <c r="G289" s="37">
        <f t="shared" si="13"/>
        <v>218769789.34</v>
      </c>
      <c r="H289" s="37">
        <f t="shared" si="13"/>
        <v>212477064.21000001</v>
      </c>
      <c r="I289" s="38"/>
      <c r="J289" s="66"/>
      <c r="K289" s="66"/>
      <c r="L289" s="66"/>
      <c r="M289" s="66"/>
      <c r="N289" s="66"/>
      <c r="O289" s="66"/>
      <c r="P289" s="96"/>
      <c r="Q289" s="66"/>
      <c r="R289" s="70"/>
      <c r="S289" s="70"/>
      <c r="AF289" s="5"/>
      <c r="AG289" s="5"/>
      <c r="AH289" s="89"/>
      <c r="AI289" s="89"/>
      <c r="AY289" s="3">
        <v>7373785.4900000002</v>
      </c>
      <c r="AZ289" s="3">
        <v>18348623.850000001</v>
      </c>
      <c r="BC289" s="3">
        <v>13706538.630000001</v>
      </c>
      <c r="BD289" s="3">
        <v>8166241.6799999997</v>
      </c>
      <c r="BG289" s="3">
        <v>197689465.22</v>
      </c>
      <c r="BH289" s="3">
        <v>185962198.68000001</v>
      </c>
    </row>
    <row r="290" spans="2:60" ht="17.100000000000001" customHeight="1" x14ac:dyDescent="0.2">
      <c r="B290" s="114"/>
      <c r="C290" s="116" t="s">
        <v>184</v>
      </c>
      <c r="D290" s="44"/>
      <c r="E290" s="35" t="s">
        <v>64</v>
      </c>
      <c r="F290" s="36">
        <v>0.06</v>
      </c>
      <c r="G290" s="37">
        <f t="shared" si="13"/>
        <v>24521972.609999999</v>
      </c>
      <c r="H290" s="37">
        <f t="shared" si="13"/>
        <v>477907.69999999995</v>
      </c>
      <c r="I290" s="38"/>
      <c r="J290" s="66"/>
      <c r="K290" s="66"/>
      <c r="L290" s="66"/>
      <c r="M290" s="66"/>
      <c r="N290" s="66"/>
      <c r="O290" s="66"/>
      <c r="P290" s="96"/>
      <c r="Q290" s="66"/>
      <c r="R290" s="70"/>
      <c r="S290" s="70"/>
      <c r="AF290" s="5"/>
      <c r="AG290" s="5"/>
      <c r="AH290" s="89"/>
      <c r="AI290" s="89"/>
      <c r="AW290" s="5">
        <v>26852.69</v>
      </c>
      <c r="AX290" s="5">
        <v>26852.69</v>
      </c>
      <c r="AY290" s="3">
        <v>266488.78000000003</v>
      </c>
      <c r="AZ290" s="3">
        <v>203681.36</v>
      </c>
      <c r="BC290" s="3">
        <v>154019.44</v>
      </c>
      <c r="BD290" s="3">
        <v>216826.86</v>
      </c>
      <c r="BG290" s="3">
        <v>24074611.699999999</v>
      </c>
      <c r="BH290" s="3">
        <v>30546.79</v>
      </c>
    </row>
    <row r="291" spans="2:60" ht="17.100000000000001" customHeight="1" x14ac:dyDescent="0.2">
      <c r="B291" s="73"/>
      <c r="C291" s="42" t="s">
        <v>185</v>
      </c>
      <c r="D291" s="42" t="s">
        <v>186</v>
      </c>
      <c r="E291" s="35" t="s">
        <v>62</v>
      </c>
      <c r="F291" s="36">
        <v>0.13</v>
      </c>
      <c r="G291" s="37">
        <f t="shared" si="13"/>
        <v>31560.73</v>
      </c>
      <c r="H291" s="37">
        <f t="shared" si="13"/>
        <v>31560.73</v>
      </c>
      <c r="I291" s="38">
        <f>G291-H291</f>
        <v>0</v>
      </c>
      <c r="J291" s="66"/>
      <c r="K291" s="66"/>
      <c r="L291" s="66"/>
      <c r="M291" s="66"/>
      <c r="N291" s="66"/>
      <c r="O291" s="66"/>
      <c r="P291" s="96"/>
      <c r="Q291" s="66"/>
      <c r="R291" s="70"/>
      <c r="S291" s="70"/>
      <c r="AF291" s="5"/>
      <c r="AG291" s="5"/>
      <c r="AH291" s="89"/>
      <c r="AI291" s="89"/>
      <c r="AP291" s="3">
        <v>31560.73</v>
      </c>
      <c r="AQ291" s="3">
        <v>31560.73</v>
      </c>
    </row>
    <row r="292" spans="2:60" ht="17.100000000000001" customHeight="1" x14ac:dyDescent="0.2">
      <c r="B292" s="114"/>
      <c r="C292" s="44"/>
      <c r="D292" s="44"/>
      <c r="E292" s="35" t="s">
        <v>63</v>
      </c>
      <c r="F292" s="36">
        <v>0.09</v>
      </c>
      <c r="G292" s="37">
        <f t="shared" si="13"/>
        <v>0</v>
      </c>
      <c r="H292" s="37">
        <f t="shared" si="13"/>
        <v>0</v>
      </c>
      <c r="I292" s="38">
        <f>G292-H292</f>
        <v>0</v>
      </c>
      <c r="J292" s="66"/>
      <c r="K292" s="66"/>
      <c r="L292" s="66"/>
      <c r="M292" s="66"/>
      <c r="N292" s="66"/>
      <c r="O292" s="66"/>
      <c r="P292" s="96"/>
      <c r="Q292" s="66"/>
      <c r="R292" s="70"/>
      <c r="S292" s="70"/>
      <c r="AF292" s="5"/>
      <c r="AG292" s="5"/>
      <c r="AH292" s="89"/>
      <c r="AI292" s="89"/>
    </row>
    <row r="293" spans="2:60" ht="17.100000000000001" customHeight="1" x14ac:dyDescent="0.2">
      <c r="B293" s="114"/>
      <c r="C293" s="44"/>
      <c r="D293" s="44"/>
      <c r="E293" s="35" t="s">
        <v>64</v>
      </c>
      <c r="F293" s="36">
        <v>0.06</v>
      </c>
      <c r="G293" s="37">
        <f t="shared" si="13"/>
        <v>0</v>
      </c>
      <c r="H293" s="37">
        <f t="shared" si="13"/>
        <v>0</v>
      </c>
      <c r="I293" s="38">
        <f t="shared" ref="I293:I314" si="15">G293-H293</f>
        <v>0</v>
      </c>
      <c r="J293" s="66"/>
      <c r="K293" s="66"/>
      <c r="L293" s="66"/>
      <c r="M293" s="66"/>
      <c r="N293" s="66"/>
      <c r="O293" s="66"/>
      <c r="P293" s="96"/>
      <c r="Q293" s="66"/>
      <c r="R293" s="70"/>
      <c r="S293" s="70"/>
      <c r="AF293" s="5"/>
      <c r="AG293" s="5"/>
      <c r="AH293" s="89"/>
      <c r="AI293" s="89"/>
    </row>
    <row r="294" spans="2:60" ht="17.100000000000001" customHeight="1" x14ac:dyDescent="0.2">
      <c r="B294" s="73"/>
      <c r="C294" s="42" t="s">
        <v>187</v>
      </c>
      <c r="D294" s="42" t="s">
        <v>188</v>
      </c>
      <c r="E294" s="35" t="s">
        <v>62</v>
      </c>
      <c r="F294" s="36">
        <v>0.13</v>
      </c>
      <c r="G294" s="37">
        <f t="shared" si="13"/>
        <v>9276.3700000000008</v>
      </c>
      <c r="H294" s="37">
        <f t="shared" si="13"/>
        <v>9276.3700000000008</v>
      </c>
      <c r="I294" s="38">
        <f t="shared" si="15"/>
        <v>0</v>
      </c>
      <c r="J294" s="66"/>
      <c r="K294" s="66"/>
      <c r="L294" s="66"/>
      <c r="M294" s="66"/>
      <c r="N294" s="66"/>
      <c r="O294" s="66"/>
      <c r="P294" s="96"/>
      <c r="Q294" s="66"/>
      <c r="R294" s="70"/>
      <c r="S294" s="70"/>
      <c r="AF294" s="5"/>
      <c r="AG294" s="5"/>
      <c r="AH294" s="89"/>
      <c r="AI294" s="89"/>
      <c r="AP294" s="3">
        <v>9276.3700000000008</v>
      </c>
      <c r="AQ294" s="3">
        <v>9276.3700000000008</v>
      </c>
    </row>
    <row r="295" spans="2:60" ht="17.100000000000001" customHeight="1" x14ac:dyDescent="0.2">
      <c r="B295" s="114"/>
      <c r="C295" s="44"/>
      <c r="D295" s="44"/>
      <c r="E295" s="35" t="s">
        <v>63</v>
      </c>
      <c r="F295" s="36">
        <v>0.09</v>
      </c>
      <c r="G295" s="37">
        <f t="shared" si="13"/>
        <v>0</v>
      </c>
      <c r="H295" s="37">
        <f t="shared" si="13"/>
        <v>0</v>
      </c>
      <c r="I295" s="38">
        <f t="shared" si="15"/>
        <v>0</v>
      </c>
      <c r="J295" s="66"/>
      <c r="K295" s="66"/>
      <c r="L295" s="66"/>
      <c r="M295" s="66"/>
      <c r="N295" s="66"/>
      <c r="O295" s="66"/>
      <c r="P295" s="96"/>
      <c r="Q295" s="66"/>
      <c r="R295" s="70"/>
      <c r="S295" s="70"/>
      <c r="AF295" s="5"/>
      <c r="AG295" s="5"/>
      <c r="AH295" s="89"/>
      <c r="AI295" s="89"/>
    </row>
    <row r="296" spans="2:60" ht="17.100000000000001" customHeight="1" x14ac:dyDescent="0.2">
      <c r="B296" s="114"/>
      <c r="C296" s="44"/>
      <c r="D296" s="44"/>
      <c r="E296" s="35" t="s">
        <v>64</v>
      </c>
      <c r="F296" s="36">
        <v>0.06</v>
      </c>
      <c r="G296" s="37">
        <f t="shared" si="13"/>
        <v>0</v>
      </c>
      <c r="H296" s="37">
        <f t="shared" si="13"/>
        <v>0</v>
      </c>
      <c r="I296" s="38">
        <f t="shared" si="15"/>
        <v>0</v>
      </c>
      <c r="J296" s="66"/>
      <c r="K296" s="66"/>
      <c r="L296" s="66"/>
      <c r="M296" s="66"/>
      <c r="N296" s="66"/>
      <c r="O296" s="66"/>
      <c r="P296" s="96"/>
      <c r="Q296" s="66"/>
      <c r="R296" s="70"/>
      <c r="S296" s="70"/>
      <c r="AF296" s="5"/>
      <c r="AG296" s="5"/>
      <c r="AH296" s="89"/>
      <c r="AI296" s="89"/>
    </row>
    <row r="297" spans="2:60" ht="17.100000000000001" customHeight="1" x14ac:dyDescent="0.2">
      <c r="B297" s="73"/>
      <c r="C297" s="42" t="s">
        <v>104</v>
      </c>
      <c r="D297" s="42" t="s">
        <v>189</v>
      </c>
      <c r="E297" s="35" t="s">
        <v>62</v>
      </c>
      <c r="F297" s="36">
        <v>0.13</v>
      </c>
      <c r="G297" s="37">
        <f t="shared" si="13"/>
        <v>0</v>
      </c>
      <c r="H297" s="37">
        <f t="shared" si="13"/>
        <v>20353982.300000001</v>
      </c>
      <c r="I297" s="38">
        <f t="shared" si="15"/>
        <v>-20353982.300000001</v>
      </c>
      <c r="J297" s="66"/>
      <c r="K297" s="66"/>
      <c r="L297" s="66"/>
      <c r="M297" s="66"/>
      <c r="N297" s="66"/>
      <c r="O297" s="66"/>
      <c r="P297" s="96"/>
      <c r="Q297" s="66"/>
      <c r="R297" s="70"/>
      <c r="S297" s="70"/>
      <c r="AF297" s="5"/>
      <c r="AG297" s="5"/>
      <c r="AH297" s="89"/>
      <c r="AI297" s="89"/>
      <c r="AS297" s="5">
        <v>20353982.300000001</v>
      </c>
    </row>
    <row r="298" spans="2:60" ht="17.100000000000001" customHeight="1" x14ac:dyDescent="0.2">
      <c r="B298" s="114"/>
      <c r="C298" s="44"/>
      <c r="D298" s="44"/>
      <c r="E298" s="35" t="s">
        <v>63</v>
      </c>
      <c r="F298" s="36">
        <v>0.09</v>
      </c>
      <c r="G298" s="37">
        <f t="shared" si="13"/>
        <v>0</v>
      </c>
      <c r="H298" s="37">
        <f t="shared" si="13"/>
        <v>0</v>
      </c>
      <c r="I298" s="38">
        <f t="shared" si="15"/>
        <v>0</v>
      </c>
      <c r="J298" s="66"/>
      <c r="K298" s="66"/>
      <c r="L298" s="66"/>
      <c r="M298" s="66"/>
      <c r="N298" s="66"/>
      <c r="O298" s="66"/>
      <c r="P298" s="96"/>
      <c r="Q298" s="66"/>
      <c r="R298" s="70"/>
      <c r="S298" s="70"/>
      <c r="AF298" s="5"/>
      <c r="AG298" s="5"/>
      <c r="AH298" s="89"/>
      <c r="AI298" s="89"/>
    </row>
    <row r="299" spans="2:60" ht="17.100000000000001" customHeight="1" x14ac:dyDescent="0.2">
      <c r="B299" s="114"/>
      <c r="C299" s="44"/>
      <c r="D299" s="44"/>
      <c r="E299" s="35" t="s">
        <v>64</v>
      </c>
      <c r="F299" s="36">
        <v>0.06</v>
      </c>
      <c r="G299" s="37">
        <f t="shared" si="13"/>
        <v>0</v>
      </c>
      <c r="H299" s="37">
        <f t="shared" si="13"/>
        <v>0</v>
      </c>
      <c r="I299" s="38">
        <f t="shared" si="15"/>
        <v>0</v>
      </c>
      <c r="J299" s="66"/>
      <c r="K299" s="66"/>
      <c r="L299" s="66"/>
      <c r="M299" s="66"/>
      <c r="N299" s="66"/>
      <c r="O299" s="66"/>
      <c r="P299" s="96"/>
      <c r="Q299" s="66"/>
      <c r="R299" s="70"/>
      <c r="S299" s="70"/>
      <c r="AF299" s="5"/>
      <c r="AG299" s="5"/>
      <c r="AH299" s="89"/>
      <c r="AI299" s="89"/>
    </row>
    <row r="300" spans="2:60" ht="17.100000000000001" customHeight="1" x14ac:dyDescent="0.2">
      <c r="B300" s="73"/>
      <c r="C300" s="115">
        <v>3009</v>
      </c>
      <c r="D300" s="42" t="s">
        <v>138</v>
      </c>
      <c r="E300" s="35" t="s">
        <v>62</v>
      </c>
      <c r="F300" s="36">
        <v>0.13</v>
      </c>
      <c r="G300" s="37">
        <f t="shared" si="13"/>
        <v>0</v>
      </c>
      <c r="H300" s="37">
        <f t="shared" si="13"/>
        <v>8083937.6799999997</v>
      </c>
      <c r="I300" s="38">
        <f t="shared" si="15"/>
        <v>-8083937.6799999997</v>
      </c>
      <c r="J300" s="66"/>
      <c r="K300" s="66"/>
      <c r="L300" s="66"/>
      <c r="M300" s="66"/>
      <c r="N300" s="66"/>
      <c r="O300" s="66"/>
      <c r="P300" s="96"/>
      <c r="Q300" s="66"/>
      <c r="R300" s="70"/>
      <c r="S300" s="70"/>
      <c r="AF300" s="5"/>
      <c r="AG300" s="5"/>
      <c r="AH300" s="89"/>
      <c r="AI300" s="89"/>
      <c r="AS300" s="5">
        <v>8083937.6799999997</v>
      </c>
    </row>
    <row r="301" spans="2:60" ht="17.100000000000001" customHeight="1" x14ac:dyDescent="0.2">
      <c r="B301" s="114"/>
      <c r="C301" s="115">
        <v>3009</v>
      </c>
      <c r="D301" s="44"/>
      <c r="E301" s="35" t="s">
        <v>63</v>
      </c>
      <c r="F301" s="36">
        <v>0.09</v>
      </c>
      <c r="G301" s="37">
        <f t="shared" si="13"/>
        <v>0</v>
      </c>
      <c r="H301" s="37">
        <f t="shared" si="13"/>
        <v>0</v>
      </c>
      <c r="I301" s="38">
        <f t="shared" si="15"/>
        <v>0</v>
      </c>
      <c r="J301" s="66"/>
      <c r="K301" s="66"/>
      <c r="L301" s="66"/>
      <c r="M301" s="66"/>
      <c r="N301" s="66"/>
      <c r="O301" s="66"/>
      <c r="P301" s="96"/>
      <c r="Q301" s="66"/>
      <c r="R301" s="70"/>
      <c r="S301" s="70"/>
      <c r="AF301" s="5"/>
      <c r="AG301" s="5"/>
      <c r="AH301" s="89"/>
      <c r="AI301" s="89"/>
    </row>
    <row r="302" spans="2:60" ht="17.100000000000001" customHeight="1" x14ac:dyDescent="0.2">
      <c r="B302" s="114"/>
      <c r="C302" s="116">
        <v>3009</v>
      </c>
      <c r="D302" s="44"/>
      <c r="E302" s="35" t="s">
        <v>64</v>
      </c>
      <c r="F302" s="36">
        <v>0.06</v>
      </c>
      <c r="G302" s="37">
        <f t="shared" si="13"/>
        <v>0</v>
      </c>
      <c r="H302" s="37">
        <f t="shared" si="13"/>
        <v>0</v>
      </c>
      <c r="I302" s="38">
        <f t="shared" si="15"/>
        <v>0</v>
      </c>
      <c r="J302" s="66"/>
      <c r="K302" s="66"/>
      <c r="L302" s="66"/>
      <c r="M302" s="66"/>
      <c r="N302" s="66"/>
      <c r="O302" s="66"/>
      <c r="P302" s="96"/>
      <c r="Q302" s="66"/>
      <c r="R302" s="70"/>
      <c r="S302" s="70"/>
      <c r="AF302" s="5"/>
      <c r="AG302" s="5"/>
      <c r="AH302" s="89"/>
      <c r="AI302" s="89"/>
    </row>
    <row r="303" spans="2:60" ht="17.100000000000001" customHeight="1" x14ac:dyDescent="0.2">
      <c r="B303" s="55"/>
      <c r="C303" s="115" t="s">
        <v>190</v>
      </c>
      <c r="D303" s="94" t="s">
        <v>191</v>
      </c>
      <c r="E303" s="35" t="s">
        <v>62</v>
      </c>
      <c r="F303" s="36">
        <v>0.13</v>
      </c>
      <c r="G303" s="37">
        <f t="shared" si="13"/>
        <v>0</v>
      </c>
      <c r="H303" s="37">
        <f t="shared" si="13"/>
        <v>0</v>
      </c>
      <c r="I303" s="38">
        <f t="shared" si="15"/>
        <v>0</v>
      </c>
      <c r="J303" s="66"/>
      <c r="K303" s="66"/>
      <c r="L303" s="66"/>
      <c r="M303" s="66"/>
      <c r="N303" s="66"/>
      <c r="O303" s="66"/>
      <c r="P303" s="96"/>
      <c r="Q303" s="66"/>
      <c r="R303" s="70"/>
      <c r="S303" s="70"/>
      <c r="AF303" s="5"/>
      <c r="AG303" s="5"/>
      <c r="AH303" s="89"/>
      <c r="AI303" s="89"/>
    </row>
    <row r="304" spans="2:60" ht="17.100000000000001" customHeight="1" x14ac:dyDescent="0.2">
      <c r="B304" s="55"/>
      <c r="C304" s="115" t="s">
        <v>190</v>
      </c>
      <c r="D304" s="94"/>
      <c r="E304" s="35" t="s">
        <v>63</v>
      </c>
      <c r="F304" s="36">
        <v>0.09</v>
      </c>
      <c r="G304" s="37">
        <f t="shared" si="13"/>
        <v>0</v>
      </c>
      <c r="H304" s="37">
        <f t="shared" si="13"/>
        <v>0</v>
      </c>
      <c r="I304" s="38">
        <f t="shared" si="15"/>
        <v>0</v>
      </c>
      <c r="J304" s="66"/>
      <c r="K304" s="66"/>
      <c r="L304" s="66"/>
      <c r="M304" s="66"/>
      <c r="N304" s="66"/>
      <c r="O304" s="66"/>
      <c r="P304" s="96"/>
      <c r="Q304" s="66"/>
      <c r="R304" s="70"/>
      <c r="S304" s="70"/>
      <c r="AF304" s="5"/>
      <c r="AG304" s="5"/>
      <c r="AH304" s="89"/>
      <c r="AI304" s="89"/>
    </row>
    <row r="305" spans="2:60" ht="17.100000000000001" customHeight="1" x14ac:dyDescent="0.2">
      <c r="B305" s="73"/>
      <c r="C305" s="116" t="s">
        <v>190</v>
      </c>
      <c r="D305" s="42"/>
      <c r="E305" s="35" t="s">
        <v>64</v>
      </c>
      <c r="F305" s="36">
        <v>0.06</v>
      </c>
      <c r="G305" s="37">
        <f t="shared" si="13"/>
        <v>694084.77</v>
      </c>
      <c r="H305" s="37">
        <f t="shared" si="13"/>
        <v>694084.77</v>
      </c>
      <c r="I305" s="38">
        <f t="shared" si="15"/>
        <v>0</v>
      </c>
      <c r="J305" s="66"/>
      <c r="K305" s="66"/>
      <c r="L305" s="66"/>
      <c r="M305" s="66"/>
      <c r="N305" s="66"/>
      <c r="O305" s="66"/>
      <c r="P305" s="96"/>
      <c r="Q305" s="66"/>
      <c r="R305" s="70"/>
      <c r="S305" s="70"/>
      <c r="AF305" s="5"/>
      <c r="AG305" s="5"/>
      <c r="AH305" s="89"/>
      <c r="AI305" s="89"/>
      <c r="AR305" s="3">
        <v>646298.75</v>
      </c>
      <c r="AS305" s="5">
        <v>646298.75</v>
      </c>
      <c r="BG305" s="3">
        <v>47786.02</v>
      </c>
      <c r="BH305" s="3">
        <v>47786.02</v>
      </c>
    </row>
    <row r="306" spans="2:60" ht="17.100000000000001" customHeight="1" x14ac:dyDescent="0.2">
      <c r="B306" s="73"/>
      <c r="C306" s="116">
        <v>4470</v>
      </c>
      <c r="D306" s="42" t="s">
        <v>192</v>
      </c>
      <c r="E306" s="35" t="s">
        <v>62</v>
      </c>
      <c r="F306" s="36">
        <v>0.13</v>
      </c>
      <c r="G306" s="37">
        <f t="shared" si="13"/>
        <v>0</v>
      </c>
      <c r="H306" s="37">
        <f t="shared" si="13"/>
        <v>323827.43</v>
      </c>
      <c r="I306" s="38">
        <f t="shared" si="15"/>
        <v>-323827.43</v>
      </c>
      <c r="J306" s="66"/>
      <c r="K306" s="66"/>
      <c r="L306" s="66"/>
      <c r="M306" s="66"/>
      <c r="N306" s="66"/>
      <c r="O306" s="66"/>
      <c r="P306" s="96"/>
      <c r="Q306" s="66"/>
      <c r="R306" s="70"/>
      <c r="S306" s="70"/>
      <c r="AF306" s="5"/>
      <c r="AG306" s="5"/>
      <c r="AH306" s="89"/>
      <c r="AI306" s="89"/>
      <c r="AQ306" s="3">
        <v>323827.43</v>
      </c>
    </row>
    <row r="307" spans="2:60" ht="17.100000000000001" customHeight="1" x14ac:dyDescent="0.2">
      <c r="B307" s="114"/>
      <c r="C307" s="116">
        <v>4470</v>
      </c>
      <c r="D307" s="44"/>
      <c r="E307" s="35" t="s">
        <v>63</v>
      </c>
      <c r="F307" s="36">
        <v>0.09</v>
      </c>
      <c r="G307" s="37">
        <f t="shared" si="13"/>
        <v>0</v>
      </c>
      <c r="H307" s="37">
        <f t="shared" si="13"/>
        <v>401414.45</v>
      </c>
      <c r="I307" s="38">
        <f t="shared" si="15"/>
        <v>-401414.45</v>
      </c>
      <c r="J307" s="66"/>
      <c r="K307" s="66"/>
      <c r="L307" s="66"/>
      <c r="M307" s="66"/>
      <c r="N307" s="66"/>
      <c r="O307" s="66"/>
      <c r="P307" s="96"/>
      <c r="Q307" s="66"/>
      <c r="R307" s="70"/>
      <c r="S307" s="70"/>
      <c r="AF307" s="5"/>
      <c r="AG307" s="5"/>
      <c r="AH307" s="89"/>
      <c r="AI307" s="89"/>
      <c r="AQ307" s="3">
        <v>401414.45</v>
      </c>
    </row>
    <row r="308" spans="2:60" ht="17.100000000000001" customHeight="1" x14ac:dyDescent="0.2">
      <c r="B308" s="114"/>
      <c r="C308" s="116">
        <v>4470</v>
      </c>
      <c r="D308" s="44"/>
      <c r="E308" s="35" t="s">
        <v>64</v>
      </c>
      <c r="F308" s="36">
        <v>0.06</v>
      </c>
      <c r="G308" s="37">
        <f t="shared" si="13"/>
        <v>3697121.7199999997</v>
      </c>
      <c r="H308" s="37">
        <f t="shared" si="13"/>
        <v>0</v>
      </c>
      <c r="I308" s="38">
        <f t="shared" si="15"/>
        <v>3697121.7199999997</v>
      </c>
      <c r="J308" s="66"/>
      <c r="K308" s="66"/>
      <c r="L308" s="66"/>
      <c r="M308" s="66"/>
      <c r="N308" s="66"/>
      <c r="O308" s="66"/>
      <c r="P308" s="96"/>
      <c r="Q308" s="66"/>
      <c r="R308" s="70"/>
      <c r="S308" s="70"/>
      <c r="AF308" s="5"/>
      <c r="AG308" s="5"/>
      <c r="AH308" s="89"/>
      <c r="AI308" s="89"/>
      <c r="BC308" s="3">
        <v>-17888.740000000002</v>
      </c>
      <c r="BG308" s="3">
        <v>3715010.46</v>
      </c>
    </row>
    <row r="309" spans="2:60" ht="17.100000000000001" customHeight="1" x14ac:dyDescent="0.2">
      <c r="B309" s="73"/>
      <c r="C309" s="116">
        <v>4470</v>
      </c>
      <c r="D309" s="42" t="s">
        <v>193</v>
      </c>
      <c r="E309" s="35" t="s">
        <v>62</v>
      </c>
      <c r="F309" s="36">
        <v>0.13</v>
      </c>
      <c r="G309" s="37">
        <f t="shared" si="13"/>
        <v>0</v>
      </c>
      <c r="H309" s="37">
        <f t="shared" si="13"/>
        <v>936294.74</v>
      </c>
      <c r="I309" s="38">
        <f t="shared" si="15"/>
        <v>-936294.74</v>
      </c>
      <c r="J309" s="66"/>
      <c r="K309" s="66"/>
      <c r="L309" s="66"/>
      <c r="M309" s="66"/>
      <c r="N309" s="66"/>
      <c r="O309" s="66"/>
      <c r="P309" s="96"/>
      <c r="Q309" s="66"/>
      <c r="R309" s="70"/>
      <c r="S309" s="70"/>
      <c r="AF309" s="5"/>
      <c r="AG309" s="5"/>
      <c r="AH309" s="89"/>
      <c r="AI309" s="89"/>
      <c r="AQ309" s="3">
        <v>936294.74</v>
      </c>
    </row>
    <row r="310" spans="2:60" ht="15" customHeight="1" x14ac:dyDescent="0.2">
      <c r="B310" s="114"/>
      <c r="C310" s="116">
        <v>4470</v>
      </c>
      <c r="D310" s="44"/>
      <c r="E310" s="35" t="s">
        <v>63</v>
      </c>
      <c r="F310" s="36">
        <v>0.09</v>
      </c>
      <c r="G310" s="37">
        <f t="shared" si="13"/>
        <v>0</v>
      </c>
      <c r="H310" s="37">
        <f t="shared" si="13"/>
        <v>1455981.28</v>
      </c>
      <c r="I310" s="38">
        <f t="shared" si="15"/>
        <v>-1455981.28</v>
      </c>
      <c r="J310" s="66"/>
      <c r="K310" s="66"/>
      <c r="L310" s="66"/>
      <c r="M310" s="66"/>
      <c r="N310" s="66"/>
      <c r="O310" s="66"/>
      <c r="P310" s="96"/>
      <c r="Q310" s="66"/>
      <c r="R310" s="70"/>
      <c r="S310" s="70"/>
      <c r="AF310" s="5"/>
      <c r="AG310" s="5"/>
      <c r="AH310" s="89"/>
      <c r="AI310" s="89"/>
      <c r="AQ310" s="3">
        <v>1455981.28</v>
      </c>
    </row>
    <row r="311" spans="2:60" ht="17.100000000000001" customHeight="1" x14ac:dyDescent="0.2">
      <c r="B311" s="114"/>
      <c r="C311" s="116">
        <v>4470</v>
      </c>
      <c r="D311" s="44"/>
      <c r="E311" s="35" t="s">
        <v>64</v>
      </c>
      <c r="F311" s="36">
        <v>0.06</v>
      </c>
      <c r="G311" s="37">
        <f t="shared" si="13"/>
        <v>0</v>
      </c>
      <c r="H311" s="37">
        <f t="shared" si="13"/>
        <v>0</v>
      </c>
      <c r="I311" s="38">
        <f t="shared" si="15"/>
        <v>0</v>
      </c>
      <c r="J311" s="66"/>
      <c r="K311" s="66"/>
      <c r="L311" s="66"/>
      <c r="M311" s="66"/>
      <c r="N311" s="66"/>
      <c r="O311" s="66"/>
      <c r="P311" s="96"/>
      <c r="Q311" s="66"/>
      <c r="R311" s="70"/>
      <c r="S311" s="70"/>
      <c r="AF311" s="5"/>
      <c r="AG311" s="5"/>
      <c r="AH311" s="89"/>
      <c r="AI311" s="89"/>
    </row>
    <row r="312" spans="2:60" ht="17.100000000000001" customHeight="1" x14ac:dyDescent="0.2">
      <c r="B312" s="73"/>
      <c r="C312" s="116">
        <v>4470</v>
      </c>
      <c r="D312" s="42" t="s">
        <v>194</v>
      </c>
      <c r="E312" s="35" t="s">
        <v>62</v>
      </c>
      <c r="F312" s="36">
        <v>0.13</v>
      </c>
      <c r="G312" s="37">
        <f t="shared" si="13"/>
        <v>0</v>
      </c>
      <c r="H312" s="37">
        <f t="shared" si="13"/>
        <v>18184.68</v>
      </c>
      <c r="I312" s="38">
        <f t="shared" si="15"/>
        <v>-18184.68</v>
      </c>
      <c r="J312" s="66"/>
      <c r="K312" s="66"/>
      <c r="L312" s="66"/>
      <c r="M312" s="66"/>
      <c r="N312" s="66"/>
      <c r="O312" s="66"/>
      <c r="P312" s="96"/>
      <c r="Q312" s="66"/>
      <c r="R312" s="70"/>
      <c r="S312" s="70"/>
      <c r="AF312" s="5"/>
      <c r="AG312" s="5"/>
      <c r="AH312" s="89"/>
      <c r="AI312" s="89"/>
      <c r="AQ312" s="3">
        <v>18184.68</v>
      </c>
    </row>
    <row r="313" spans="2:60" ht="17.100000000000001" customHeight="1" x14ac:dyDescent="0.2">
      <c r="B313" s="114"/>
      <c r="C313" s="116">
        <v>4470</v>
      </c>
      <c r="D313" s="44"/>
      <c r="E313" s="35" t="s">
        <v>63</v>
      </c>
      <c r="F313" s="36">
        <v>0.09</v>
      </c>
      <c r="G313" s="37">
        <f t="shared" si="13"/>
        <v>0</v>
      </c>
      <c r="H313" s="37">
        <f t="shared" si="13"/>
        <v>0</v>
      </c>
      <c r="I313" s="38">
        <f t="shared" si="15"/>
        <v>0</v>
      </c>
      <c r="J313" s="66"/>
      <c r="K313" s="66"/>
      <c r="L313" s="66"/>
      <c r="M313" s="66"/>
      <c r="N313" s="66"/>
      <c r="O313" s="66"/>
      <c r="P313" s="96"/>
      <c r="Q313" s="66"/>
      <c r="R313" s="70"/>
      <c r="S313" s="70"/>
      <c r="AF313" s="5"/>
      <c r="AG313" s="5"/>
      <c r="AH313" s="89"/>
      <c r="AI313" s="89"/>
    </row>
    <row r="314" spans="2:60" ht="17.100000000000001" customHeight="1" x14ac:dyDescent="0.2">
      <c r="B314" s="114"/>
      <c r="C314" s="116">
        <v>4470</v>
      </c>
      <c r="D314" s="44"/>
      <c r="E314" s="35" t="s">
        <v>64</v>
      </c>
      <c r="F314" s="36">
        <v>0.06</v>
      </c>
      <c r="G314" s="37">
        <f t="shared" si="13"/>
        <v>61500</v>
      </c>
      <c r="H314" s="37">
        <f t="shared" si="13"/>
        <v>0</v>
      </c>
      <c r="I314" s="38">
        <f t="shared" si="15"/>
        <v>61500</v>
      </c>
      <c r="J314" s="66"/>
      <c r="K314" s="66"/>
      <c r="L314" s="66"/>
      <c r="M314" s="66"/>
      <c r="N314" s="66"/>
      <c r="O314" s="66"/>
      <c r="P314" s="96"/>
      <c r="Q314" s="66"/>
      <c r="R314" s="70"/>
      <c r="S314" s="70"/>
      <c r="AF314" s="5"/>
      <c r="AG314" s="5"/>
      <c r="AH314" s="89"/>
      <c r="AI314" s="89"/>
      <c r="BG314" s="3">
        <v>61500</v>
      </c>
    </row>
    <row r="315" spans="2:60" ht="17.100000000000001" customHeight="1" x14ac:dyDescent="0.2">
      <c r="B315" s="73"/>
      <c r="C315" s="116">
        <v>1000</v>
      </c>
      <c r="D315" s="42" t="s">
        <v>195</v>
      </c>
      <c r="E315" s="35" t="s">
        <v>62</v>
      </c>
      <c r="F315" s="36">
        <v>0.13</v>
      </c>
      <c r="G315" s="37">
        <f t="shared" si="13"/>
        <v>3421711.52</v>
      </c>
      <c r="H315" s="37">
        <f t="shared" si="13"/>
        <v>3421711.52</v>
      </c>
      <c r="I315" s="38"/>
      <c r="J315" s="66"/>
      <c r="K315" s="66"/>
      <c r="L315" s="66"/>
      <c r="M315" s="66"/>
      <c r="N315" s="66"/>
      <c r="O315" s="66"/>
      <c r="P315" s="96"/>
      <c r="Q315" s="66"/>
      <c r="R315" s="70"/>
      <c r="S315" s="70"/>
      <c r="AF315" s="5"/>
      <c r="AG315" s="5"/>
      <c r="AH315" s="89"/>
      <c r="AI315" s="89"/>
      <c r="BG315" s="3">
        <v>3421711.52</v>
      </c>
      <c r="BH315" s="3">
        <v>3421711.52</v>
      </c>
    </row>
    <row r="316" spans="2:60" ht="17.100000000000001" customHeight="1" x14ac:dyDescent="0.2">
      <c r="B316" s="114"/>
      <c r="C316" s="116">
        <v>1000</v>
      </c>
      <c r="D316" s="44"/>
      <c r="E316" s="35" t="s">
        <v>63</v>
      </c>
      <c r="F316" s="36">
        <v>0.09</v>
      </c>
      <c r="G316" s="37">
        <f t="shared" si="13"/>
        <v>5868900.4000000004</v>
      </c>
      <c r="H316" s="37">
        <f t="shared" si="13"/>
        <v>5868900.4000000004</v>
      </c>
      <c r="I316" s="38"/>
      <c r="J316" s="66"/>
      <c r="K316" s="66"/>
      <c r="L316" s="66"/>
      <c r="M316" s="66"/>
      <c r="N316" s="66"/>
      <c r="O316" s="66"/>
      <c r="P316" s="96"/>
      <c r="Q316" s="66"/>
      <c r="R316" s="70"/>
      <c r="S316" s="70"/>
      <c r="AF316" s="5"/>
      <c r="AG316" s="5"/>
      <c r="AH316" s="89"/>
      <c r="AI316" s="89"/>
      <c r="BG316" s="3">
        <v>5868900.4000000004</v>
      </c>
      <c r="BH316" s="3">
        <v>5868900.4000000004</v>
      </c>
    </row>
    <row r="317" spans="2:60" ht="17.100000000000001" customHeight="1" x14ac:dyDescent="0.2">
      <c r="B317" s="114"/>
      <c r="C317" s="116">
        <v>1000</v>
      </c>
      <c r="D317" s="44"/>
      <c r="E317" s="76" t="s">
        <v>64</v>
      </c>
      <c r="F317" s="77">
        <v>0.06</v>
      </c>
      <c r="G317" s="37">
        <f t="shared" si="13"/>
        <v>2688539.22</v>
      </c>
      <c r="H317" s="37">
        <f t="shared" si="13"/>
        <v>2688539.22</v>
      </c>
      <c r="I317" s="38"/>
      <c r="J317" s="66"/>
      <c r="K317" s="66"/>
      <c r="L317" s="66"/>
      <c r="M317" s="66"/>
      <c r="N317" s="66"/>
      <c r="O317" s="66"/>
      <c r="P317" s="96"/>
      <c r="Q317" s="66"/>
      <c r="R317" s="70"/>
      <c r="S317" s="70"/>
      <c r="AF317" s="5"/>
      <c r="AG317" s="5"/>
      <c r="AH317" s="89"/>
      <c r="AI317" s="89"/>
      <c r="BG317" s="3">
        <v>2688539.22</v>
      </c>
      <c r="BH317" s="3">
        <v>2688539.22</v>
      </c>
    </row>
    <row r="318" spans="2:60" ht="17.100000000000001" customHeight="1" x14ac:dyDescent="0.2">
      <c r="B318" s="73"/>
      <c r="C318" s="116">
        <v>2260</v>
      </c>
      <c r="D318" s="42" t="s">
        <v>195</v>
      </c>
      <c r="E318" s="35" t="s">
        <v>62</v>
      </c>
      <c r="F318" s="36">
        <v>0.13</v>
      </c>
      <c r="G318" s="37">
        <f t="shared" si="13"/>
        <v>9524681.2300000004</v>
      </c>
      <c r="H318" s="37">
        <f t="shared" si="13"/>
        <v>9524681.2300000004</v>
      </c>
      <c r="I318" s="38"/>
      <c r="J318" s="66"/>
      <c r="K318" s="66"/>
      <c r="L318" s="66"/>
      <c r="M318" s="66"/>
      <c r="N318" s="66"/>
      <c r="O318" s="66"/>
      <c r="P318" s="96"/>
      <c r="Q318" s="66"/>
      <c r="R318" s="70"/>
      <c r="S318" s="70"/>
      <c r="AF318" s="5"/>
      <c r="AG318" s="5"/>
      <c r="AH318" s="89"/>
      <c r="AI318" s="89"/>
      <c r="BG318" s="3">
        <v>9524681.2300000004</v>
      </c>
      <c r="BH318" s="3">
        <v>9524681.2300000004</v>
      </c>
    </row>
    <row r="319" spans="2:60" ht="17.100000000000001" customHeight="1" x14ac:dyDescent="0.2">
      <c r="B319" s="114"/>
      <c r="C319" s="116">
        <v>2260</v>
      </c>
      <c r="D319" s="44"/>
      <c r="E319" s="35" t="s">
        <v>63</v>
      </c>
      <c r="F319" s="36">
        <v>0.09</v>
      </c>
      <c r="G319" s="37">
        <f t="shared" si="13"/>
        <v>5713855.8399999999</v>
      </c>
      <c r="H319" s="37">
        <f t="shared" si="13"/>
        <v>5713855.8399999999</v>
      </c>
      <c r="I319" s="38"/>
      <c r="J319" s="66"/>
      <c r="K319" s="66"/>
      <c r="L319" s="66"/>
      <c r="M319" s="66"/>
      <c r="N319" s="66"/>
      <c r="O319" s="66"/>
      <c r="P319" s="96"/>
      <c r="Q319" s="66"/>
      <c r="R319" s="70"/>
      <c r="S319" s="70"/>
      <c r="AF319" s="5"/>
      <c r="AG319" s="5"/>
      <c r="AH319" s="89"/>
      <c r="AI319" s="89"/>
      <c r="BG319" s="3">
        <v>5713855.8399999999</v>
      </c>
      <c r="BH319" s="3">
        <v>5713855.8399999999</v>
      </c>
    </row>
    <row r="320" spans="2:60" ht="17.100000000000001" customHeight="1" x14ac:dyDescent="0.2">
      <c r="B320" s="114"/>
      <c r="C320" s="116">
        <v>2260</v>
      </c>
      <c r="D320" s="44"/>
      <c r="E320" s="76" t="s">
        <v>64</v>
      </c>
      <c r="F320" s="77">
        <v>0.06</v>
      </c>
      <c r="G320" s="37">
        <f t="shared" si="13"/>
        <v>5377078.4100000001</v>
      </c>
      <c r="H320" s="37">
        <f t="shared" si="13"/>
        <v>5377078.4199999999</v>
      </c>
      <c r="I320" s="38"/>
      <c r="J320" s="66"/>
      <c r="K320" s="66"/>
      <c r="L320" s="66"/>
      <c r="M320" s="66"/>
      <c r="N320" s="66"/>
      <c r="O320" s="66"/>
      <c r="P320" s="96"/>
      <c r="Q320" s="66"/>
      <c r="R320" s="70"/>
      <c r="S320" s="70"/>
      <c r="AF320" s="5"/>
      <c r="AG320" s="5"/>
      <c r="AH320" s="89"/>
      <c r="AI320" s="89"/>
      <c r="BG320" s="3">
        <v>5377078.4100000001</v>
      </c>
      <c r="BH320" s="3">
        <v>5377078.4199999999</v>
      </c>
    </row>
    <row r="321" spans="2:60" ht="17.100000000000001" customHeight="1" x14ac:dyDescent="0.2">
      <c r="B321" s="73"/>
      <c r="C321" s="116">
        <v>4470</v>
      </c>
      <c r="D321" s="42" t="s">
        <v>195</v>
      </c>
      <c r="E321" s="35" t="s">
        <v>62</v>
      </c>
      <c r="F321" s="36">
        <v>0.13</v>
      </c>
      <c r="G321" s="37">
        <f t="shared" si="13"/>
        <v>5995164.2199999997</v>
      </c>
      <c r="H321" s="37">
        <f t="shared" si="13"/>
        <v>-18227828.359999999</v>
      </c>
      <c r="I321" s="38"/>
      <c r="J321" s="66"/>
      <c r="K321" s="66"/>
      <c r="L321" s="66"/>
      <c r="M321" s="66"/>
      <c r="N321" s="66"/>
      <c r="O321" s="66"/>
      <c r="P321" s="96"/>
      <c r="Q321" s="66"/>
      <c r="R321" s="70"/>
      <c r="S321" s="70"/>
      <c r="AF321" s="5"/>
      <c r="AG321" s="5"/>
      <c r="AH321" s="89"/>
      <c r="AI321" s="89"/>
      <c r="BD321" s="3">
        <v>-18227828.359999999</v>
      </c>
      <c r="BG321" s="3">
        <v>5995164.2199999997</v>
      </c>
    </row>
    <row r="322" spans="2:60" ht="17.100000000000001" customHeight="1" x14ac:dyDescent="0.2">
      <c r="B322" s="114"/>
      <c r="C322" s="116">
        <v>4470</v>
      </c>
      <c r="D322" s="44"/>
      <c r="E322" s="35" t="s">
        <v>63</v>
      </c>
      <c r="F322" s="36">
        <v>0.09</v>
      </c>
      <c r="G322" s="37">
        <f t="shared" si="13"/>
        <v>747591.74</v>
      </c>
      <c r="H322" s="37">
        <f t="shared" si="13"/>
        <v>-14047247.35</v>
      </c>
      <c r="I322" s="38"/>
      <c r="J322" s="66"/>
      <c r="K322" s="66"/>
      <c r="L322" s="66"/>
      <c r="M322" s="66"/>
      <c r="N322" s="66"/>
      <c r="O322" s="66"/>
      <c r="P322" s="96"/>
      <c r="Q322" s="66"/>
      <c r="R322" s="70"/>
      <c r="S322" s="70"/>
      <c r="AF322" s="5"/>
      <c r="AG322" s="5"/>
      <c r="AH322" s="89"/>
      <c r="AI322" s="89"/>
      <c r="BD322" s="3">
        <v>-14047247.35</v>
      </c>
      <c r="BG322" s="3">
        <v>747591.74</v>
      </c>
    </row>
    <row r="323" spans="2:60" ht="17.100000000000001" customHeight="1" x14ac:dyDescent="0.2">
      <c r="B323" s="114"/>
      <c r="C323" s="116">
        <v>4470</v>
      </c>
      <c r="D323" s="44"/>
      <c r="E323" s="76" t="s">
        <v>64</v>
      </c>
      <c r="F323" s="77">
        <v>0.06</v>
      </c>
      <c r="G323" s="37">
        <f t="shared" si="13"/>
        <v>0</v>
      </c>
      <c r="H323" s="37">
        <f t="shared" si="13"/>
        <v>-309433.96000000002</v>
      </c>
      <c r="I323" s="38"/>
      <c r="J323" s="66"/>
      <c r="K323" s="66"/>
      <c r="L323" s="66"/>
      <c r="M323" s="66"/>
      <c r="N323" s="66"/>
      <c r="O323" s="66"/>
      <c r="P323" s="96"/>
      <c r="Q323" s="66"/>
      <c r="R323" s="70"/>
      <c r="S323" s="70"/>
      <c r="AF323" s="5"/>
      <c r="AG323" s="5"/>
      <c r="AH323" s="89"/>
      <c r="AI323" s="89"/>
      <c r="BD323" s="3">
        <v>-309433.96000000002</v>
      </c>
    </row>
    <row r="324" spans="2:60" ht="17.100000000000001" customHeight="1" x14ac:dyDescent="0.2">
      <c r="B324" s="73"/>
      <c r="C324" s="116">
        <v>4470</v>
      </c>
      <c r="D324" s="42" t="s">
        <v>196</v>
      </c>
      <c r="E324" s="35" t="s">
        <v>62</v>
      </c>
      <c r="F324" s="36">
        <v>0.13</v>
      </c>
      <c r="G324" s="37">
        <f t="shared" si="13"/>
        <v>0</v>
      </c>
      <c r="H324" s="37">
        <f t="shared" si="13"/>
        <v>-2358407.08</v>
      </c>
      <c r="I324" s="38">
        <f t="shared" ref="I324:I329" si="16">G324-H324</f>
        <v>2358407.08</v>
      </c>
      <c r="J324" s="66"/>
      <c r="K324" s="66"/>
      <c r="L324" s="66"/>
      <c r="M324" s="66"/>
      <c r="N324" s="66"/>
      <c r="O324" s="66"/>
      <c r="P324" s="96"/>
      <c r="Q324" s="66"/>
      <c r="R324" s="70"/>
      <c r="S324" s="70"/>
      <c r="AF324" s="5"/>
      <c r="AG324" s="5"/>
      <c r="AH324" s="89"/>
      <c r="AI324" s="89"/>
      <c r="AQ324" s="3">
        <v>13862939.039999999</v>
      </c>
      <c r="BD324" s="3">
        <v>-16221346.119999999</v>
      </c>
    </row>
    <row r="325" spans="2:60" ht="17.100000000000001" customHeight="1" x14ac:dyDescent="0.2">
      <c r="B325" s="114"/>
      <c r="C325" s="116">
        <v>4470</v>
      </c>
      <c r="D325" s="44"/>
      <c r="E325" s="35" t="s">
        <v>63</v>
      </c>
      <c r="F325" s="36">
        <v>0.09</v>
      </c>
      <c r="G325" s="37">
        <f t="shared" si="13"/>
        <v>0</v>
      </c>
      <c r="H325" s="37">
        <f t="shared" si="13"/>
        <v>-1601763.7100000009</v>
      </c>
      <c r="I325" s="38">
        <f t="shared" si="16"/>
        <v>1601763.7100000009</v>
      </c>
      <c r="J325" s="66"/>
      <c r="K325" s="66"/>
      <c r="L325" s="66"/>
      <c r="M325" s="66"/>
      <c r="N325" s="66"/>
      <c r="O325" s="66"/>
      <c r="P325" s="96"/>
      <c r="Q325" s="66"/>
      <c r="R325" s="70"/>
      <c r="S325" s="70"/>
      <c r="AF325" s="5"/>
      <c r="AG325" s="5"/>
      <c r="AH325" s="89"/>
      <c r="AI325" s="89"/>
      <c r="AQ325" s="3">
        <v>64638075.640000001</v>
      </c>
      <c r="BD325" s="3">
        <v>-66239839.350000001</v>
      </c>
    </row>
    <row r="326" spans="2:60" ht="17.100000000000001" customHeight="1" x14ac:dyDescent="0.2">
      <c r="B326" s="114"/>
      <c r="C326" s="116">
        <v>4470</v>
      </c>
      <c r="D326" s="44"/>
      <c r="E326" s="76" t="s">
        <v>64</v>
      </c>
      <c r="F326" s="77">
        <v>0.06</v>
      </c>
      <c r="G326" s="37">
        <f t="shared" si="13"/>
        <v>0</v>
      </c>
      <c r="H326" s="37">
        <f t="shared" si="13"/>
        <v>-475754.73000000045</v>
      </c>
      <c r="I326" s="38">
        <f t="shared" si="16"/>
        <v>475754.73000000045</v>
      </c>
      <c r="J326" s="66"/>
      <c r="K326" s="66"/>
      <c r="L326" s="66"/>
      <c r="M326" s="66"/>
      <c r="N326" s="66"/>
      <c r="O326" s="66"/>
      <c r="P326" s="96"/>
      <c r="Q326" s="66"/>
      <c r="R326" s="70"/>
      <c r="S326" s="70"/>
      <c r="AF326" s="5"/>
      <c r="AG326" s="5"/>
      <c r="AH326" s="89"/>
      <c r="AI326" s="89"/>
      <c r="AQ326" s="3">
        <v>31893380.800000001</v>
      </c>
      <c r="BD326" s="3">
        <v>-32369135.530000001</v>
      </c>
    </row>
    <row r="327" spans="2:60" ht="17.100000000000001" customHeight="1" x14ac:dyDescent="0.2">
      <c r="B327" s="55"/>
      <c r="C327" s="115">
        <v>4470</v>
      </c>
      <c r="D327" s="94" t="s">
        <v>197</v>
      </c>
      <c r="E327" s="35" t="s">
        <v>62</v>
      </c>
      <c r="F327" s="36">
        <v>0.13</v>
      </c>
      <c r="G327" s="37">
        <f t="shared" si="13"/>
        <v>-13862939.039999999</v>
      </c>
      <c r="H327" s="37">
        <f t="shared" si="13"/>
        <v>0</v>
      </c>
      <c r="I327" s="38">
        <f t="shared" si="16"/>
        <v>-13862939.039999999</v>
      </c>
      <c r="J327" s="66"/>
      <c r="K327" s="66"/>
      <c r="L327" s="66"/>
      <c r="M327" s="66"/>
      <c r="N327" s="66"/>
      <c r="O327" s="66"/>
      <c r="P327" s="96"/>
      <c r="Q327" s="66"/>
      <c r="R327" s="70"/>
      <c r="S327" s="70"/>
      <c r="AF327" s="5"/>
      <c r="AG327" s="5"/>
      <c r="AH327" s="89"/>
      <c r="AI327" s="89"/>
      <c r="BC327" s="3">
        <v>-13862939.039999999</v>
      </c>
    </row>
    <row r="328" spans="2:60" ht="17.100000000000001" customHeight="1" x14ac:dyDescent="0.2">
      <c r="B328" s="55"/>
      <c r="C328" s="115">
        <v>4470</v>
      </c>
      <c r="D328" s="94"/>
      <c r="E328" s="35" t="s">
        <v>63</v>
      </c>
      <c r="F328" s="36">
        <v>0.09</v>
      </c>
      <c r="G328" s="37">
        <f t="shared" si="13"/>
        <v>-60938348.189999998</v>
      </c>
      <c r="H328" s="37">
        <f t="shared" si="13"/>
        <v>0</v>
      </c>
      <c r="I328" s="38">
        <f t="shared" si="16"/>
        <v>-60938348.189999998</v>
      </c>
      <c r="J328" s="66"/>
      <c r="K328" s="66"/>
      <c r="L328" s="66"/>
      <c r="M328" s="66"/>
      <c r="N328" s="66"/>
      <c r="O328" s="66"/>
      <c r="P328" s="96"/>
      <c r="Q328" s="66"/>
      <c r="R328" s="70"/>
      <c r="S328" s="70"/>
      <c r="AF328" s="5"/>
      <c r="AG328" s="5"/>
      <c r="AH328" s="89"/>
      <c r="AI328" s="89"/>
      <c r="BC328" s="3">
        <v>-60938348.189999998</v>
      </c>
    </row>
    <row r="329" spans="2:60" ht="17.100000000000001" customHeight="1" x14ac:dyDescent="0.2">
      <c r="B329" s="55"/>
      <c r="C329" s="115">
        <v>4470</v>
      </c>
      <c r="D329" s="94"/>
      <c r="E329" s="76" t="s">
        <v>64</v>
      </c>
      <c r="F329" s="77">
        <v>0.06</v>
      </c>
      <c r="G329" s="37">
        <f t="shared" si="13"/>
        <v>-28896222.790000003</v>
      </c>
      <c r="H329" s="37">
        <f t="shared" si="13"/>
        <v>69622.64</v>
      </c>
      <c r="I329" s="38">
        <f t="shared" si="16"/>
        <v>-28965845.430000003</v>
      </c>
      <c r="J329" s="66"/>
      <c r="K329" s="66"/>
      <c r="L329" s="66"/>
      <c r="M329" s="66"/>
      <c r="N329" s="66"/>
      <c r="O329" s="66"/>
      <c r="P329" s="96"/>
      <c r="Q329" s="66"/>
      <c r="R329" s="70"/>
      <c r="S329" s="70"/>
      <c r="AF329" s="5"/>
      <c r="AG329" s="5"/>
      <c r="AH329" s="89"/>
      <c r="AI329" s="89"/>
      <c r="AR329" s="3">
        <v>69622.64</v>
      </c>
      <c r="AU329" s="5">
        <v>211089.1</v>
      </c>
      <c r="AV329" s="5">
        <v>69622.64</v>
      </c>
      <c r="BC329" s="3">
        <v>-29176934.530000001</v>
      </c>
    </row>
    <row r="330" spans="2:60" ht="17.100000000000001" customHeight="1" x14ac:dyDescent="0.2">
      <c r="B330" s="55"/>
      <c r="C330" s="115" t="s">
        <v>127</v>
      </c>
      <c r="D330" s="94" t="s">
        <v>198</v>
      </c>
      <c r="E330" s="35" t="s">
        <v>62</v>
      </c>
      <c r="F330" s="36">
        <v>0.13</v>
      </c>
      <c r="G330" s="37">
        <f t="shared" ref="G330:H393" si="17">SUM(J330,L330,N330,P330,R330,T330,V330,X330,Z330,AB330,AD330,AF330,AH330,AJ330,AL330,AN330,AP330,AR330,AU330,AW330,AY330,BC330,BG330)</f>
        <v>0</v>
      </c>
      <c r="H330" s="37">
        <f t="shared" si="17"/>
        <v>0</v>
      </c>
      <c r="I330" s="38"/>
      <c r="J330" s="66"/>
      <c r="K330" s="66"/>
      <c r="L330" s="66"/>
      <c r="M330" s="66"/>
      <c r="N330" s="66"/>
      <c r="O330" s="66"/>
      <c r="P330" s="96"/>
      <c r="Q330" s="66"/>
      <c r="R330" s="70"/>
      <c r="S330" s="70"/>
      <c r="AF330" s="5"/>
      <c r="AG330" s="5"/>
      <c r="AH330" s="89"/>
      <c r="AI330" s="89"/>
    </row>
    <row r="331" spans="2:60" ht="17.100000000000001" customHeight="1" x14ac:dyDescent="0.2">
      <c r="B331" s="55"/>
      <c r="C331" s="115" t="s">
        <v>127</v>
      </c>
      <c r="D331" s="94"/>
      <c r="E331" s="35" t="s">
        <v>63</v>
      </c>
      <c r="F331" s="36">
        <v>0.09</v>
      </c>
      <c r="G331" s="37">
        <f t="shared" si="17"/>
        <v>330744.24</v>
      </c>
      <c r="H331" s="37">
        <f t="shared" si="17"/>
        <v>0</v>
      </c>
      <c r="I331" s="38"/>
      <c r="J331" s="66"/>
      <c r="K331" s="66"/>
      <c r="L331" s="66"/>
      <c r="M331" s="66"/>
      <c r="N331" s="66"/>
      <c r="O331" s="66"/>
      <c r="P331" s="96"/>
      <c r="Q331" s="66"/>
      <c r="R331" s="70"/>
      <c r="S331" s="70"/>
      <c r="AF331" s="5"/>
      <c r="AG331" s="5"/>
      <c r="AH331" s="89"/>
      <c r="AI331" s="89"/>
      <c r="BC331" s="3">
        <v>46077.98</v>
      </c>
      <c r="BG331" s="3">
        <v>284666.26</v>
      </c>
    </row>
    <row r="332" spans="2:60" ht="17.100000000000001" customHeight="1" x14ac:dyDescent="0.2">
      <c r="B332" s="55"/>
      <c r="C332" s="115" t="s">
        <v>127</v>
      </c>
      <c r="D332" s="94"/>
      <c r="E332" s="76" t="s">
        <v>64</v>
      </c>
      <c r="F332" s="77">
        <v>0.06</v>
      </c>
      <c r="G332" s="37">
        <f t="shared" si="17"/>
        <v>0</v>
      </c>
      <c r="H332" s="37">
        <f t="shared" si="17"/>
        <v>0</v>
      </c>
      <c r="I332" s="38"/>
      <c r="J332" s="66"/>
      <c r="K332" s="66"/>
      <c r="L332" s="66"/>
      <c r="M332" s="66"/>
      <c r="N332" s="66"/>
      <c r="O332" s="66"/>
      <c r="P332" s="96"/>
      <c r="Q332" s="66"/>
      <c r="R332" s="70"/>
      <c r="S332" s="70"/>
      <c r="AF332" s="5"/>
      <c r="AG332" s="5"/>
      <c r="AH332" s="89"/>
      <c r="AI332" s="89"/>
    </row>
    <row r="333" spans="2:60" ht="17.100000000000001" customHeight="1" x14ac:dyDescent="0.2">
      <c r="B333" s="55"/>
      <c r="C333" s="115" t="s">
        <v>127</v>
      </c>
      <c r="D333" s="94" t="s">
        <v>199</v>
      </c>
      <c r="E333" s="35" t="s">
        <v>62</v>
      </c>
      <c r="F333" s="36">
        <v>0.13</v>
      </c>
      <c r="G333" s="37">
        <f t="shared" si="17"/>
        <v>0</v>
      </c>
      <c r="H333" s="37">
        <f t="shared" si="17"/>
        <v>0</v>
      </c>
      <c r="I333" s="38"/>
      <c r="J333" s="66"/>
      <c r="K333" s="66"/>
      <c r="L333" s="66"/>
      <c r="M333" s="66"/>
      <c r="N333" s="66"/>
      <c r="O333" s="66"/>
      <c r="P333" s="96"/>
      <c r="Q333" s="66"/>
      <c r="R333" s="70"/>
      <c r="S333" s="70"/>
      <c r="AF333" s="5"/>
      <c r="AG333" s="5"/>
      <c r="AH333" s="89"/>
      <c r="AI333" s="89"/>
    </row>
    <row r="334" spans="2:60" ht="17.100000000000001" customHeight="1" x14ac:dyDescent="0.2">
      <c r="B334" s="55"/>
      <c r="C334" s="115" t="s">
        <v>127</v>
      </c>
      <c r="D334" s="94"/>
      <c r="E334" s="35" t="s">
        <v>63</v>
      </c>
      <c r="F334" s="36">
        <v>0.09</v>
      </c>
      <c r="G334" s="37">
        <f t="shared" si="17"/>
        <v>0</v>
      </c>
      <c r="H334" s="37">
        <f t="shared" si="17"/>
        <v>0</v>
      </c>
      <c r="I334" s="38"/>
      <c r="J334" s="66"/>
      <c r="K334" s="66"/>
      <c r="L334" s="66"/>
      <c r="M334" s="66"/>
      <c r="N334" s="66"/>
      <c r="O334" s="66"/>
      <c r="P334" s="96"/>
      <c r="Q334" s="66"/>
      <c r="R334" s="70"/>
      <c r="S334" s="70"/>
      <c r="AF334" s="5"/>
      <c r="AG334" s="5"/>
      <c r="AH334" s="89"/>
      <c r="AI334" s="89"/>
    </row>
    <row r="335" spans="2:60" ht="17.100000000000001" customHeight="1" x14ac:dyDescent="0.2">
      <c r="B335" s="55"/>
      <c r="C335" s="115" t="s">
        <v>127</v>
      </c>
      <c r="D335" s="94"/>
      <c r="E335" s="76" t="s">
        <v>64</v>
      </c>
      <c r="F335" s="77">
        <v>0.06</v>
      </c>
      <c r="G335" s="37">
        <f t="shared" si="17"/>
        <v>69896.47</v>
      </c>
      <c r="H335" s="37">
        <f t="shared" si="17"/>
        <v>69896.47</v>
      </c>
      <c r="I335" s="38"/>
      <c r="J335" s="66"/>
      <c r="K335" s="66"/>
      <c r="L335" s="66"/>
      <c r="M335" s="66"/>
      <c r="N335" s="66"/>
      <c r="O335" s="66"/>
      <c r="P335" s="96"/>
      <c r="Q335" s="66"/>
      <c r="R335" s="70"/>
      <c r="S335" s="70"/>
      <c r="AF335" s="5"/>
      <c r="AG335" s="5"/>
      <c r="AH335" s="89"/>
      <c r="AI335" s="89"/>
      <c r="BC335" s="3">
        <v>38108.089999999997</v>
      </c>
      <c r="BD335" s="3">
        <v>38108.089999999997</v>
      </c>
      <c r="BG335" s="3">
        <v>31788.38</v>
      </c>
      <c r="BH335" s="3">
        <v>31788.38</v>
      </c>
    </row>
    <row r="336" spans="2:60" ht="17.100000000000001" customHeight="1" x14ac:dyDescent="0.2">
      <c r="B336" s="55"/>
      <c r="C336" s="115" t="s">
        <v>127</v>
      </c>
      <c r="D336" s="94" t="s">
        <v>200</v>
      </c>
      <c r="E336" s="35" t="s">
        <v>62</v>
      </c>
      <c r="F336" s="36">
        <v>0.13</v>
      </c>
      <c r="G336" s="37">
        <f t="shared" si="17"/>
        <v>0</v>
      </c>
      <c r="H336" s="37">
        <f t="shared" si="17"/>
        <v>0</v>
      </c>
      <c r="I336" s="38"/>
      <c r="J336" s="66"/>
      <c r="K336" s="66"/>
      <c r="L336" s="66"/>
      <c r="M336" s="66"/>
      <c r="N336" s="66"/>
      <c r="O336" s="66"/>
      <c r="P336" s="96"/>
      <c r="Q336" s="66"/>
      <c r="R336" s="70"/>
      <c r="S336" s="70"/>
      <c r="AF336" s="5"/>
      <c r="AG336" s="5"/>
      <c r="AH336" s="89"/>
      <c r="AI336" s="89"/>
    </row>
    <row r="337" spans="2:60" ht="17.100000000000001" customHeight="1" x14ac:dyDescent="0.2">
      <c r="B337" s="55"/>
      <c r="C337" s="115" t="s">
        <v>127</v>
      </c>
      <c r="D337" s="94"/>
      <c r="E337" s="35" t="s">
        <v>63</v>
      </c>
      <c r="F337" s="36">
        <v>0.09</v>
      </c>
      <c r="G337" s="37">
        <f t="shared" si="17"/>
        <v>0</v>
      </c>
      <c r="H337" s="37">
        <f t="shared" si="17"/>
        <v>0</v>
      </c>
      <c r="I337" s="38"/>
      <c r="J337" s="66"/>
      <c r="K337" s="66"/>
      <c r="L337" s="66"/>
      <c r="M337" s="66"/>
      <c r="N337" s="66"/>
      <c r="O337" s="66"/>
      <c r="P337" s="96"/>
      <c r="Q337" s="66"/>
      <c r="R337" s="70"/>
      <c r="S337" s="70"/>
      <c r="AF337" s="5"/>
      <c r="AG337" s="5"/>
      <c r="AH337" s="89"/>
      <c r="AI337" s="89"/>
    </row>
    <row r="338" spans="2:60" ht="17.100000000000001" customHeight="1" x14ac:dyDescent="0.2">
      <c r="B338" s="55"/>
      <c r="C338" s="115" t="s">
        <v>127</v>
      </c>
      <c r="D338" s="94"/>
      <c r="E338" s="76" t="s">
        <v>64</v>
      </c>
      <c r="F338" s="77">
        <v>0.06</v>
      </c>
      <c r="G338" s="37">
        <f t="shared" si="17"/>
        <v>132908.68</v>
      </c>
      <c r="H338" s="37">
        <f t="shared" si="17"/>
        <v>132908.68</v>
      </c>
      <c r="I338" s="38"/>
      <c r="J338" s="66"/>
      <c r="K338" s="66"/>
      <c r="L338" s="66"/>
      <c r="M338" s="66"/>
      <c r="N338" s="66"/>
      <c r="O338" s="66"/>
      <c r="P338" s="96"/>
      <c r="Q338" s="66"/>
      <c r="R338" s="70"/>
      <c r="S338" s="70"/>
      <c r="AF338" s="5"/>
      <c r="AG338" s="5"/>
      <c r="AH338" s="89"/>
      <c r="AI338" s="89"/>
      <c r="BC338" s="3">
        <v>67202.960000000006</v>
      </c>
      <c r="BD338" s="3">
        <v>67202.960000000006</v>
      </c>
      <c r="BG338" s="3">
        <v>65705.72</v>
      </c>
      <c r="BH338" s="3">
        <v>65705.72</v>
      </c>
    </row>
    <row r="339" spans="2:60" ht="17.100000000000001" customHeight="1" x14ac:dyDescent="0.2">
      <c r="B339" s="55"/>
      <c r="C339" s="115" t="s">
        <v>127</v>
      </c>
      <c r="D339" s="94" t="s">
        <v>201</v>
      </c>
      <c r="E339" s="35" t="s">
        <v>62</v>
      </c>
      <c r="F339" s="36">
        <v>0.13</v>
      </c>
      <c r="G339" s="37">
        <f t="shared" si="17"/>
        <v>32187895.010000002</v>
      </c>
      <c r="H339" s="37">
        <f t="shared" si="17"/>
        <v>0</v>
      </c>
      <c r="I339" s="38">
        <f>G339-H339</f>
        <v>32187895.010000002</v>
      </c>
      <c r="J339" s="66"/>
      <c r="K339" s="66"/>
      <c r="L339" s="66"/>
      <c r="M339" s="66"/>
      <c r="N339" s="66"/>
      <c r="O339" s="66"/>
      <c r="P339" s="96"/>
      <c r="Q339" s="66"/>
      <c r="R339" s="70"/>
      <c r="S339" s="70"/>
      <c r="AF339" s="5"/>
      <c r="AG339" s="5"/>
      <c r="AH339" s="89"/>
      <c r="AI339" s="89"/>
      <c r="AW339" s="5">
        <v>29964101.949999999</v>
      </c>
      <c r="AY339" s="3">
        <v>86753.01</v>
      </c>
      <c r="BC339" s="3">
        <v>1986089.12</v>
      </c>
      <c r="BG339" s="3">
        <v>150950.93</v>
      </c>
    </row>
    <row r="340" spans="2:60" ht="17.100000000000001" customHeight="1" x14ac:dyDescent="0.2">
      <c r="B340" s="55"/>
      <c r="C340" s="115" t="s">
        <v>127</v>
      </c>
      <c r="D340" s="94"/>
      <c r="E340" s="35" t="s">
        <v>63</v>
      </c>
      <c r="F340" s="36">
        <v>0.09</v>
      </c>
      <c r="G340" s="37">
        <f t="shared" si="17"/>
        <v>11643932.689999999</v>
      </c>
      <c r="H340" s="37">
        <f t="shared" si="17"/>
        <v>0</v>
      </c>
      <c r="I340" s="38">
        <f>G340-H340</f>
        <v>11643932.689999999</v>
      </c>
      <c r="J340" s="66"/>
      <c r="K340" s="66"/>
      <c r="L340" s="66"/>
      <c r="M340" s="66"/>
      <c r="N340" s="66"/>
      <c r="O340" s="66"/>
      <c r="P340" s="96"/>
      <c r="Q340" s="66"/>
      <c r="R340" s="70"/>
      <c r="S340" s="70"/>
      <c r="AF340" s="5"/>
      <c r="AG340" s="5"/>
      <c r="AH340" s="89"/>
      <c r="AI340" s="89"/>
      <c r="AW340" s="5">
        <v>4868846.75</v>
      </c>
      <c r="AY340" s="3">
        <v>2923920.1</v>
      </c>
      <c r="BC340" s="3">
        <v>1805977.59</v>
      </c>
      <c r="BG340" s="3">
        <v>2045188.25</v>
      </c>
    </row>
    <row r="341" spans="2:60" ht="17.100000000000001" customHeight="1" x14ac:dyDescent="0.2">
      <c r="B341" s="55"/>
      <c r="C341" s="115" t="s">
        <v>127</v>
      </c>
      <c r="D341" s="94"/>
      <c r="E341" s="76" t="s">
        <v>64</v>
      </c>
      <c r="F341" s="77">
        <v>0.06</v>
      </c>
      <c r="G341" s="37">
        <f t="shared" si="17"/>
        <v>2149778.14</v>
      </c>
      <c r="H341" s="37">
        <f t="shared" si="17"/>
        <v>0</v>
      </c>
      <c r="I341" s="38">
        <f>G341-H341</f>
        <v>2149778.14</v>
      </c>
      <c r="J341" s="66"/>
      <c r="K341" s="66"/>
      <c r="L341" s="66"/>
      <c r="M341" s="66"/>
      <c r="N341" s="66"/>
      <c r="O341" s="66"/>
      <c r="P341" s="96"/>
      <c r="Q341" s="66"/>
      <c r="R341" s="70"/>
      <c r="S341" s="70"/>
      <c r="AF341" s="5"/>
      <c r="AG341" s="5"/>
      <c r="AH341" s="89"/>
      <c r="AI341" s="89"/>
      <c r="AU341" s="5">
        <v>11216.99</v>
      </c>
      <c r="BG341" s="3">
        <v>2138561.15</v>
      </c>
    </row>
    <row r="342" spans="2:60" ht="17.100000000000001" customHeight="1" x14ac:dyDescent="0.2">
      <c r="B342" s="55"/>
      <c r="C342" s="115" t="s">
        <v>127</v>
      </c>
      <c r="D342" s="94" t="s">
        <v>202</v>
      </c>
      <c r="E342" s="35" t="s">
        <v>62</v>
      </c>
      <c r="F342" s="36">
        <v>0.13</v>
      </c>
      <c r="G342" s="37">
        <f t="shared" si="17"/>
        <v>0</v>
      </c>
      <c r="H342" s="37">
        <f t="shared" si="17"/>
        <v>0</v>
      </c>
      <c r="I342" s="38"/>
      <c r="J342" s="66"/>
      <c r="K342" s="66"/>
      <c r="L342" s="66"/>
      <c r="M342" s="66"/>
      <c r="N342" s="66"/>
      <c r="O342" s="66"/>
      <c r="P342" s="96"/>
      <c r="Q342" s="66"/>
      <c r="R342" s="70"/>
      <c r="S342" s="70"/>
      <c r="AF342" s="5"/>
      <c r="AG342" s="5"/>
      <c r="AH342" s="89"/>
      <c r="AI342" s="89"/>
    </row>
    <row r="343" spans="2:60" ht="17.100000000000001" customHeight="1" x14ac:dyDescent="0.2">
      <c r="B343" s="55"/>
      <c r="C343" s="115" t="s">
        <v>127</v>
      </c>
      <c r="D343" s="94"/>
      <c r="E343" s="35" t="s">
        <v>63</v>
      </c>
      <c r="F343" s="36">
        <v>0.09</v>
      </c>
      <c r="G343" s="37">
        <f t="shared" si="17"/>
        <v>0</v>
      </c>
      <c r="H343" s="37">
        <f t="shared" si="17"/>
        <v>0</v>
      </c>
      <c r="I343" s="38"/>
      <c r="J343" s="66"/>
      <c r="K343" s="66"/>
      <c r="L343" s="66"/>
      <c r="M343" s="66"/>
      <c r="N343" s="66"/>
      <c r="O343" s="66"/>
      <c r="P343" s="96"/>
      <c r="Q343" s="66"/>
      <c r="R343" s="70"/>
      <c r="S343" s="70"/>
      <c r="AF343" s="5"/>
      <c r="AG343" s="5"/>
      <c r="AH343" s="89"/>
      <c r="AI343" s="89"/>
    </row>
    <row r="344" spans="2:60" ht="17.100000000000001" customHeight="1" x14ac:dyDescent="0.2">
      <c r="B344" s="55"/>
      <c r="C344" s="115" t="s">
        <v>127</v>
      </c>
      <c r="D344" s="94"/>
      <c r="E344" s="76" t="s">
        <v>64</v>
      </c>
      <c r="F344" s="77">
        <v>0.06</v>
      </c>
      <c r="G344" s="37">
        <f t="shared" si="17"/>
        <v>26852.69</v>
      </c>
      <c r="H344" s="37">
        <f t="shared" si="17"/>
        <v>26852.69</v>
      </c>
      <c r="I344" s="38"/>
      <c r="J344" s="66"/>
      <c r="K344" s="66"/>
      <c r="L344" s="66"/>
      <c r="M344" s="66"/>
      <c r="N344" s="66"/>
      <c r="O344" s="66"/>
      <c r="P344" s="96"/>
      <c r="Q344" s="66"/>
      <c r="R344" s="70"/>
      <c r="S344" s="70"/>
      <c r="AF344" s="5"/>
      <c r="AG344" s="5"/>
      <c r="AH344" s="89"/>
      <c r="AI344" s="89"/>
      <c r="AW344" s="5">
        <v>26852.69</v>
      </c>
      <c r="AX344" s="5">
        <v>26852.69</v>
      </c>
    </row>
    <row r="345" spans="2:60" ht="17.100000000000001" customHeight="1" x14ac:dyDescent="0.2">
      <c r="B345" s="55"/>
      <c r="C345" s="115" t="s">
        <v>203</v>
      </c>
      <c r="D345" s="94" t="s">
        <v>204</v>
      </c>
      <c r="E345" s="35" t="s">
        <v>62</v>
      </c>
      <c r="F345" s="36">
        <v>0.13</v>
      </c>
      <c r="G345" s="37">
        <f t="shared" si="17"/>
        <v>54415265.950000003</v>
      </c>
      <c r="H345" s="37">
        <f t="shared" si="17"/>
        <v>231646.37</v>
      </c>
      <c r="I345" s="38"/>
      <c r="J345" s="66"/>
      <c r="K345" s="66"/>
      <c r="L345" s="66"/>
      <c r="M345" s="66"/>
      <c r="N345" s="66"/>
      <c r="O345" s="66"/>
      <c r="P345" s="96"/>
      <c r="Q345" s="66"/>
      <c r="R345" s="70"/>
      <c r="S345" s="70"/>
      <c r="AF345" s="5"/>
      <c r="AG345" s="5"/>
      <c r="AH345" s="89"/>
      <c r="AI345" s="89"/>
      <c r="AY345" s="3">
        <v>231646.37</v>
      </c>
      <c r="BC345" s="3">
        <v>11261436.439999999</v>
      </c>
      <c r="BD345" s="3">
        <v>231646.37</v>
      </c>
      <c r="BG345" s="3">
        <v>42922183.140000001</v>
      </c>
    </row>
    <row r="346" spans="2:60" ht="17.100000000000001" customHeight="1" x14ac:dyDescent="0.2">
      <c r="B346" s="55"/>
      <c r="C346" s="115" t="s">
        <v>203</v>
      </c>
      <c r="D346" s="94"/>
      <c r="E346" s="35" t="s">
        <v>63</v>
      </c>
      <c r="F346" s="36">
        <v>0.09</v>
      </c>
      <c r="G346" s="37">
        <f t="shared" si="17"/>
        <v>27259841.580000002</v>
      </c>
      <c r="H346" s="37">
        <f t="shared" si="17"/>
        <v>9802007.3599999994</v>
      </c>
      <c r="I346" s="38"/>
      <c r="J346" s="66"/>
      <c r="K346" s="66"/>
      <c r="L346" s="66"/>
      <c r="M346" s="66"/>
      <c r="N346" s="66"/>
      <c r="O346" s="66"/>
      <c r="P346" s="96"/>
      <c r="Q346" s="66"/>
      <c r="R346" s="70"/>
      <c r="S346" s="70"/>
      <c r="AF346" s="5"/>
      <c r="AG346" s="5"/>
      <c r="AH346" s="89"/>
      <c r="AI346" s="89"/>
      <c r="AW346" s="5">
        <v>180932.39</v>
      </c>
      <c r="AY346" s="3">
        <v>4994559.66</v>
      </c>
      <c r="BC346" s="3">
        <v>4761173.43</v>
      </c>
      <c r="BD346" s="3">
        <v>9802007.3599999994</v>
      </c>
      <c r="BG346" s="3">
        <v>17323176.100000001</v>
      </c>
    </row>
    <row r="347" spans="2:60" ht="17.100000000000001" customHeight="1" x14ac:dyDescent="0.2">
      <c r="B347" s="55"/>
      <c r="C347" s="115" t="s">
        <v>203</v>
      </c>
      <c r="D347" s="94"/>
      <c r="E347" s="76" t="s">
        <v>64</v>
      </c>
      <c r="F347" s="77">
        <v>0.06</v>
      </c>
      <c r="G347" s="37">
        <f t="shared" si="17"/>
        <v>26209592.580000002</v>
      </c>
      <c r="H347" s="37">
        <f t="shared" si="17"/>
        <v>618420.3600000001</v>
      </c>
      <c r="I347" s="38"/>
      <c r="J347" s="66"/>
      <c r="K347" s="66"/>
      <c r="L347" s="66"/>
      <c r="M347" s="66"/>
      <c r="N347" s="66"/>
      <c r="O347" s="66"/>
      <c r="P347" s="96"/>
      <c r="Q347" s="66"/>
      <c r="R347" s="70"/>
      <c r="S347" s="70"/>
      <c r="AF347" s="5"/>
      <c r="AG347" s="5"/>
      <c r="AH347" s="89"/>
      <c r="AI347" s="89"/>
      <c r="AW347" s="5">
        <v>26852.69</v>
      </c>
      <c r="AX347" s="5">
        <v>26852.69</v>
      </c>
      <c r="AY347" s="3">
        <v>345268.42</v>
      </c>
      <c r="AZ347" s="3">
        <v>239339.48</v>
      </c>
      <c r="BC347" s="3">
        <v>215752.46</v>
      </c>
      <c r="BD347" s="3">
        <v>321681.40000000002</v>
      </c>
      <c r="BG347" s="3">
        <v>25621719.010000002</v>
      </c>
      <c r="BH347" s="3">
        <v>30546.79</v>
      </c>
    </row>
    <row r="348" spans="2:60" ht="17.100000000000001" customHeight="1" x14ac:dyDescent="0.2">
      <c r="B348" s="55"/>
      <c r="C348" s="115">
        <v>4307</v>
      </c>
      <c r="D348" s="94" t="s">
        <v>205</v>
      </c>
      <c r="E348" s="35" t="s">
        <v>62</v>
      </c>
      <c r="F348" s="36">
        <v>0.13</v>
      </c>
      <c r="G348" s="37">
        <f t="shared" si="17"/>
        <v>56993246.200000003</v>
      </c>
      <c r="H348" s="37">
        <f t="shared" si="17"/>
        <v>5775979.5899999999</v>
      </c>
      <c r="I348" s="38"/>
      <c r="J348" s="66"/>
      <c r="K348" s="66"/>
      <c r="L348" s="66"/>
      <c r="M348" s="66"/>
      <c r="N348" s="66"/>
      <c r="O348" s="66"/>
      <c r="P348" s="96"/>
      <c r="Q348" s="66"/>
      <c r="R348" s="70"/>
      <c r="S348" s="70"/>
      <c r="AF348" s="5"/>
      <c r="AG348" s="5"/>
      <c r="AH348" s="89"/>
      <c r="AI348" s="89"/>
      <c r="AY348" s="3">
        <v>5779743.0599999996</v>
      </c>
      <c r="BC348" s="3">
        <v>5787501.1399999997</v>
      </c>
      <c r="BD348" s="3">
        <v>5775979.5899999999</v>
      </c>
      <c r="BG348" s="3">
        <v>45426002</v>
      </c>
    </row>
    <row r="349" spans="2:60" ht="17.100000000000001" customHeight="1" x14ac:dyDescent="0.2">
      <c r="B349" s="55"/>
      <c r="C349" s="115">
        <v>4307</v>
      </c>
      <c r="D349" s="94"/>
      <c r="E349" s="35" t="s">
        <v>63</v>
      </c>
      <c r="F349" s="36">
        <v>0.09</v>
      </c>
      <c r="G349" s="37">
        <f t="shared" si="17"/>
        <v>102551294.07000001</v>
      </c>
      <c r="H349" s="37">
        <f t="shared" si="17"/>
        <v>18282290.949999999</v>
      </c>
      <c r="I349" s="38"/>
      <c r="J349" s="66"/>
      <c r="K349" s="66"/>
      <c r="L349" s="66"/>
      <c r="M349" s="66"/>
      <c r="N349" s="66"/>
      <c r="O349" s="66"/>
      <c r="P349" s="96"/>
      <c r="Q349" s="66"/>
      <c r="R349" s="70"/>
      <c r="S349" s="70"/>
      <c r="AF349" s="5"/>
      <c r="AG349" s="5"/>
      <c r="AH349" s="89"/>
      <c r="AI349" s="89"/>
      <c r="AW349" s="5">
        <v>523859.14</v>
      </c>
      <c r="AY349" s="3">
        <v>2226661.73</v>
      </c>
      <c r="BC349" s="3">
        <v>15531770.08</v>
      </c>
      <c r="BD349" s="3">
        <v>18282290.949999999</v>
      </c>
      <c r="BG349" s="3">
        <v>84269003.120000005</v>
      </c>
    </row>
    <row r="350" spans="2:60" ht="17.100000000000001" customHeight="1" x14ac:dyDescent="0.2">
      <c r="B350" s="55"/>
      <c r="C350" s="115">
        <v>4307</v>
      </c>
      <c r="D350" s="94"/>
      <c r="E350" s="76" t="s">
        <v>64</v>
      </c>
      <c r="F350" s="77">
        <v>0.06</v>
      </c>
      <c r="G350" s="37">
        <f t="shared" si="17"/>
        <v>27154205.5</v>
      </c>
      <c r="H350" s="37">
        <f t="shared" si="17"/>
        <v>563841.17999999993</v>
      </c>
      <c r="I350" s="38"/>
      <c r="J350" s="66"/>
      <c r="K350" s="66"/>
      <c r="L350" s="66"/>
      <c r="M350" s="66"/>
      <c r="N350" s="66"/>
      <c r="O350" s="66"/>
      <c r="P350" s="96"/>
      <c r="Q350" s="66"/>
      <c r="R350" s="70"/>
      <c r="S350" s="70"/>
      <c r="AF350" s="5"/>
      <c r="AG350" s="5"/>
      <c r="AH350" s="89"/>
      <c r="AI350" s="89"/>
      <c r="AW350" s="5">
        <v>26852.69</v>
      </c>
      <c r="AX350" s="5">
        <v>26852.69</v>
      </c>
      <c r="AY350" s="3">
        <v>296724.08</v>
      </c>
      <c r="AZ350" s="3">
        <v>239339.48</v>
      </c>
      <c r="BC350" s="3">
        <v>209717.62</v>
      </c>
      <c r="BD350" s="3">
        <v>267102.21999999997</v>
      </c>
      <c r="BG350" s="3">
        <v>26620911.109999999</v>
      </c>
      <c r="BH350" s="3">
        <v>30546.79</v>
      </c>
    </row>
    <row r="351" spans="2:60" ht="17.100000000000001" customHeight="1" x14ac:dyDescent="0.2">
      <c r="B351" s="55"/>
      <c r="C351" s="115">
        <v>1000</v>
      </c>
      <c r="D351" s="94" t="s">
        <v>206</v>
      </c>
      <c r="E351" s="35" t="s">
        <v>62</v>
      </c>
      <c r="F351" s="36">
        <v>0.13</v>
      </c>
      <c r="G351" s="37">
        <f t="shared" si="17"/>
        <v>0</v>
      </c>
      <c r="H351" s="37">
        <f t="shared" si="17"/>
        <v>0</v>
      </c>
      <c r="I351" s="38">
        <f t="shared" ref="I351:I359" si="18">G351-H351</f>
        <v>0</v>
      </c>
      <c r="J351" s="66"/>
      <c r="K351" s="66"/>
      <c r="L351" s="66"/>
      <c r="M351" s="66"/>
      <c r="N351" s="66"/>
      <c r="O351" s="66"/>
      <c r="P351" s="96"/>
      <c r="Q351" s="66"/>
      <c r="R351" s="70"/>
      <c r="S351" s="70"/>
      <c r="AF351" s="5"/>
      <c r="AG351" s="5"/>
      <c r="AH351" s="89"/>
      <c r="AI351" s="89"/>
    </row>
    <row r="352" spans="2:60" ht="17.100000000000001" customHeight="1" x14ac:dyDescent="0.2">
      <c r="B352" s="55"/>
      <c r="C352" s="115">
        <v>1000</v>
      </c>
      <c r="D352" s="94"/>
      <c r="E352" s="35" t="s">
        <v>63</v>
      </c>
      <c r="F352" s="36">
        <v>0.09</v>
      </c>
      <c r="G352" s="37">
        <f t="shared" si="17"/>
        <v>0</v>
      </c>
      <c r="H352" s="37">
        <f t="shared" si="17"/>
        <v>0</v>
      </c>
      <c r="I352" s="38">
        <f t="shared" si="18"/>
        <v>0</v>
      </c>
      <c r="J352" s="66"/>
      <c r="K352" s="66"/>
      <c r="L352" s="66"/>
      <c r="M352" s="66"/>
      <c r="N352" s="66"/>
      <c r="O352" s="66"/>
      <c r="P352" s="96"/>
      <c r="Q352" s="66"/>
      <c r="R352" s="70"/>
      <c r="S352" s="70"/>
      <c r="AF352" s="5"/>
      <c r="AG352" s="5"/>
      <c r="AH352" s="89"/>
      <c r="AI352" s="89"/>
    </row>
    <row r="353" spans="2:60" ht="17.100000000000001" customHeight="1" x14ac:dyDescent="0.2">
      <c r="B353" s="55"/>
      <c r="C353" s="115">
        <v>1000</v>
      </c>
      <c r="D353" s="94"/>
      <c r="E353" s="76" t="s">
        <v>64</v>
      </c>
      <c r="F353" s="77">
        <v>0.06</v>
      </c>
      <c r="G353" s="37">
        <f t="shared" si="17"/>
        <v>326558.77</v>
      </c>
      <c r="H353" s="37">
        <f t="shared" si="17"/>
        <v>326558.77</v>
      </c>
      <c r="I353" s="38">
        <f t="shared" si="18"/>
        <v>0</v>
      </c>
      <c r="J353" s="66"/>
      <c r="K353" s="66"/>
      <c r="L353" s="66"/>
      <c r="M353" s="66"/>
      <c r="N353" s="66"/>
      <c r="O353" s="66"/>
      <c r="P353" s="96"/>
      <c r="Q353" s="66"/>
      <c r="R353" s="70"/>
      <c r="S353" s="70"/>
      <c r="AF353" s="5"/>
      <c r="AG353" s="5"/>
      <c r="AH353" s="89"/>
      <c r="AI353" s="89"/>
      <c r="AU353" s="5">
        <v>326558.77</v>
      </c>
      <c r="AV353" s="5">
        <v>326558.77</v>
      </c>
    </row>
    <row r="354" spans="2:60" ht="17.100000000000001" customHeight="1" x14ac:dyDescent="0.2">
      <c r="B354" s="55"/>
      <c r="C354" s="42" t="s">
        <v>207</v>
      </c>
      <c r="D354" s="94" t="s">
        <v>208</v>
      </c>
      <c r="E354" s="35" t="s">
        <v>62</v>
      </c>
      <c r="F354" s="36">
        <v>0.13</v>
      </c>
      <c r="G354" s="37">
        <f t="shared" si="17"/>
        <v>0</v>
      </c>
      <c r="H354" s="37">
        <f t="shared" si="17"/>
        <v>272201.58</v>
      </c>
      <c r="I354" s="38">
        <f t="shared" si="18"/>
        <v>-272201.58</v>
      </c>
      <c r="J354" s="66"/>
      <c r="K354" s="66"/>
      <c r="L354" s="66"/>
      <c r="M354" s="66"/>
      <c r="N354" s="66"/>
      <c r="O354" s="66"/>
      <c r="P354" s="96"/>
      <c r="Q354" s="66"/>
      <c r="R354" s="70"/>
      <c r="S354" s="70"/>
      <c r="AF354" s="5"/>
      <c r="AG354" s="5"/>
      <c r="AH354" s="89"/>
      <c r="AI354" s="89"/>
      <c r="AT354" s="108">
        <v>272201.58</v>
      </c>
      <c r="AV354" s="5">
        <v>272201.58</v>
      </c>
    </row>
    <row r="355" spans="2:60" ht="17.100000000000001" customHeight="1" x14ac:dyDescent="0.2">
      <c r="B355" s="55"/>
      <c r="C355" s="44"/>
      <c r="D355" s="94"/>
      <c r="E355" s="35" t="s">
        <v>63</v>
      </c>
      <c r="F355" s="36">
        <v>0.09</v>
      </c>
      <c r="G355" s="37">
        <f t="shared" si="17"/>
        <v>0</v>
      </c>
      <c r="H355" s="37">
        <f t="shared" si="17"/>
        <v>132209.64000000001</v>
      </c>
      <c r="I355" s="38">
        <f t="shared" si="18"/>
        <v>-132209.64000000001</v>
      </c>
      <c r="J355" s="66"/>
      <c r="K355" s="66"/>
      <c r="L355" s="66"/>
      <c r="M355" s="66"/>
      <c r="N355" s="66"/>
      <c r="O355" s="66"/>
      <c r="P355" s="96"/>
      <c r="Q355" s="66"/>
      <c r="R355" s="70"/>
      <c r="S355" s="70"/>
      <c r="AF355" s="5"/>
      <c r="AG355" s="5"/>
      <c r="AH355" s="89"/>
      <c r="AI355" s="89"/>
      <c r="AT355" s="108">
        <v>132209.64000000001</v>
      </c>
      <c r="AV355" s="5">
        <v>132209.64000000001</v>
      </c>
    </row>
    <row r="356" spans="2:60" ht="17.100000000000001" customHeight="1" x14ac:dyDescent="0.2">
      <c r="B356" s="55"/>
      <c r="C356" s="45"/>
      <c r="D356" s="94"/>
      <c r="E356" s="76" t="s">
        <v>64</v>
      </c>
      <c r="F356" s="77">
        <v>0.06</v>
      </c>
      <c r="G356" s="37">
        <f t="shared" si="17"/>
        <v>0</v>
      </c>
      <c r="H356" s="37">
        <f t="shared" si="17"/>
        <v>63624.73</v>
      </c>
      <c r="I356" s="38">
        <f t="shared" si="18"/>
        <v>-63624.73</v>
      </c>
      <c r="J356" s="66"/>
      <c r="K356" s="66"/>
      <c r="L356" s="66"/>
      <c r="M356" s="66"/>
      <c r="N356" s="66"/>
      <c r="O356" s="66"/>
      <c r="P356" s="96"/>
      <c r="Q356" s="66"/>
      <c r="R356" s="70"/>
      <c r="S356" s="70"/>
      <c r="AF356" s="5"/>
      <c r="AG356" s="5"/>
      <c r="AH356" s="89"/>
      <c r="AI356" s="89"/>
      <c r="AT356" s="108">
        <v>63624.73</v>
      </c>
      <c r="AV356" s="5">
        <v>63624.73</v>
      </c>
    </row>
    <row r="357" spans="2:60" ht="17.100000000000001" customHeight="1" x14ac:dyDescent="0.2">
      <c r="B357" s="55"/>
      <c r="C357" s="42" t="s">
        <v>165</v>
      </c>
      <c r="D357" s="94" t="s">
        <v>209</v>
      </c>
      <c r="E357" s="35" t="s">
        <v>62</v>
      </c>
      <c r="F357" s="36">
        <v>0.13</v>
      </c>
      <c r="G357" s="37">
        <f t="shared" si="17"/>
        <v>0</v>
      </c>
      <c r="H357" s="37">
        <f t="shared" si="17"/>
        <v>134861504.43000001</v>
      </c>
      <c r="I357" s="38">
        <f t="shared" si="18"/>
        <v>-134861504.43000001</v>
      </c>
      <c r="J357" s="66"/>
      <c r="K357" s="66"/>
      <c r="L357" s="66"/>
      <c r="M357" s="66"/>
      <c r="N357" s="66"/>
      <c r="O357" s="66"/>
      <c r="P357" s="96"/>
      <c r="Q357" s="66"/>
      <c r="R357" s="70"/>
      <c r="S357" s="70"/>
      <c r="AF357" s="5"/>
      <c r="AG357" s="5"/>
      <c r="AH357" s="89"/>
      <c r="AI357" s="89"/>
      <c r="AT357" s="108">
        <v>134861504.43000001</v>
      </c>
      <c r="AV357" s="5">
        <v>134861504.43000001</v>
      </c>
      <c r="BB357" s="111">
        <v>-10674735.220000001</v>
      </c>
    </row>
    <row r="358" spans="2:60" ht="17.100000000000001" customHeight="1" x14ac:dyDescent="0.2">
      <c r="B358" s="55"/>
      <c r="C358" s="44"/>
      <c r="D358" s="94"/>
      <c r="E358" s="35" t="s">
        <v>63</v>
      </c>
      <c r="F358" s="36">
        <v>0.09</v>
      </c>
      <c r="G358" s="37">
        <f t="shared" si="17"/>
        <v>0</v>
      </c>
      <c r="H358" s="37">
        <f t="shared" si="17"/>
        <v>135418807.33000001</v>
      </c>
      <c r="I358" s="38">
        <f t="shared" si="18"/>
        <v>-135418807.33000001</v>
      </c>
      <c r="J358" s="66"/>
      <c r="K358" s="66"/>
      <c r="L358" s="66"/>
      <c r="M358" s="66"/>
      <c r="N358" s="66"/>
      <c r="O358" s="66"/>
      <c r="P358" s="96"/>
      <c r="Q358" s="66"/>
      <c r="R358" s="70"/>
      <c r="S358" s="70"/>
      <c r="AF358" s="5"/>
      <c r="AG358" s="5"/>
      <c r="AH358" s="89"/>
      <c r="AI358" s="89"/>
      <c r="AX358" s="5">
        <v>135418807.33000001</v>
      </c>
    </row>
    <row r="359" spans="2:60" ht="17.100000000000001" customHeight="1" x14ac:dyDescent="0.2">
      <c r="B359" s="55"/>
      <c r="C359" s="45"/>
      <c r="D359" s="94"/>
      <c r="E359" s="76" t="s">
        <v>64</v>
      </c>
      <c r="F359" s="77">
        <v>0.06</v>
      </c>
      <c r="G359" s="37">
        <f t="shared" si="17"/>
        <v>0</v>
      </c>
      <c r="H359" s="37">
        <f t="shared" si="17"/>
        <v>0</v>
      </c>
      <c r="I359" s="38">
        <f t="shared" si="18"/>
        <v>0</v>
      </c>
      <c r="J359" s="66"/>
      <c r="K359" s="66"/>
      <c r="L359" s="66"/>
      <c r="M359" s="66"/>
      <c r="N359" s="66"/>
      <c r="O359" s="66"/>
      <c r="P359" s="96"/>
      <c r="Q359" s="66"/>
      <c r="R359" s="70"/>
      <c r="S359" s="70"/>
      <c r="AF359" s="5"/>
      <c r="AG359" s="5"/>
      <c r="AH359" s="89"/>
      <c r="AI359" s="89"/>
    </row>
    <row r="360" spans="2:60" ht="17.100000000000001" customHeight="1" x14ac:dyDescent="0.2">
      <c r="B360" s="55"/>
      <c r="C360" s="115" t="s">
        <v>210</v>
      </c>
      <c r="D360" s="94" t="s">
        <v>211</v>
      </c>
      <c r="E360" s="35" t="s">
        <v>62</v>
      </c>
      <c r="F360" s="36">
        <v>0.13</v>
      </c>
      <c r="G360" s="37">
        <f t="shared" si="17"/>
        <v>998342605.22000003</v>
      </c>
      <c r="H360" s="37">
        <f t="shared" si="17"/>
        <v>0</v>
      </c>
      <c r="I360" s="38"/>
      <c r="J360" s="66"/>
      <c r="K360" s="66"/>
      <c r="L360" s="66"/>
      <c r="M360" s="66"/>
      <c r="N360" s="66"/>
      <c r="O360" s="66"/>
      <c r="P360" s="96"/>
      <c r="Q360" s="66"/>
      <c r="R360" s="70"/>
      <c r="S360" s="70"/>
      <c r="AF360" s="5"/>
      <c r="AG360" s="5"/>
      <c r="AH360" s="89"/>
      <c r="AI360" s="89"/>
      <c r="BC360" s="3">
        <v>71984121.870000005</v>
      </c>
      <c r="BG360" s="3">
        <v>926358483.35000002</v>
      </c>
    </row>
    <row r="361" spans="2:60" ht="17.100000000000001" customHeight="1" x14ac:dyDescent="0.2">
      <c r="B361" s="55"/>
      <c r="C361" s="115" t="s">
        <v>210</v>
      </c>
      <c r="D361" s="94"/>
      <c r="E361" s="35" t="s">
        <v>63</v>
      </c>
      <c r="F361" s="36">
        <v>0.09</v>
      </c>
      <c r="G361" s="37">
        <f t="shared" si="17"/>
        <v>227267319.00999999</v>
      </c>
      <c r="H361" s="37">
        <f t="shared" si="17"/>
        <v>0</v>
      </c>
      <c r="I361" s="38"/>
      <c r="J361" s="66"/>
      <c r="K361" s="66"/>
      <c r="L361" s="66"/>
      <c r="M361" s="66"/>
      <c r="N361" s="66"/>
      <c r="O361" s="66"/>
      <c r="P361" s="96"/>
      <c r="Q361" s="66"/>
      <c r="R361" s="70"/>
      <c r="S361" s="70"/>
      <c r="AF361" s="5"/>
      <c r="AG361" s="5"/>
      <c r="AH361" s="89"/>
      <c r="AI361" s="89"/>
      <c r="BC361" s="3">
        <v>9589391.6600000001</v>
      </c>
      <c r="BG361" s="3">
        <v>217677927.34999999</v>
      </c>
    </row>
    <row r="362" spans="2:60" ht="17.100000000000001" customHeight="1" x14ac:dyDescent="0.2">
      <c r="B362" s="55"/>
      <c r="C362" s="115" t="s">
        <v>210</v>
      </c>
      <c r="D362" s="94"/>
      <c r="E362" s="76" t="s">
        <v>64</v>
      </c>
      <c r="F362" s="77">
        <v>0.06</v>
      </c>
      <c r="G362" s="37">
        <f t="shared" si="17"/>
        <v>0</v>
      </c>
      <c r="H362" s="37">
        <f t="shared" si="17"/>
        <v>0</v>
      </c>
      <c r="I362" s="38"/>
      <c r="J362" s="66"/>
      <c r="K362" s="66"/>
      <c r="L362" s="66"/>
      <c r="M362" s="66"/>
      <c r="N362" s="66"/>
      <c r="O362" s="66"/>
      <c r="P362" s="96"/>
      <c r="Q362" s="66"/>
      <c r="R362" s="70"/>
      <c r="S362" s="70"/>
      <c r="AF362" s="5"/>
      <c r="AG362" s="5"/>
      <c r="AH362" s="89"/>
      <c r="AI362" s="89"/>
      <c r="AY362" s="3">
        <v>46475.92</v>
      </c>
      <c r="BC362" s="3">
        <v>278388.68</v>
      </c>
      <c r="BD362" s="3">
        <v>30546.79</v>
      </c>
      <c r="BG362" s="3">
        <v>-324864.59999999998</v>
      </c>
      <c r="BH362" s="3">
        <v>-30546.79</v>
      </c>
    </row>
    <row r="363" spans="2:60" ht="17.100000000000001" customHeight="1" x14ac:dyDescent="0.2">
      <c r="B363" s="55"/>
      <c r="C363" s="115">
        <v>1000</v>
      </c>
      <c r="D363" s="94" t="s">
        <v>212</v>
      </c>
      <c r="E363" s="35" t="s">
        <v>62</v>
      </c>
      <c r="F363" s="36">
        <v>0.13</v>
      </c>
      <c r="G363" s="37">
        <f t="shared" si="17"/>
        <v>0</v>
      </c>
      <c r="H363" s="37">
        <f t="shared" si="17"/>
        <v>0</v>
      </c>
      <c r="I363" s="38"/>
      <c r="J363" s="66"/>
      <c r="K363" s="66"/>
      <c r="L363" s="66"/>
      <c r="M363" s="66"/>
      <c r="N363" s="66"/>
      <c r="O363" s="66"/>
      <c r="P363" s="96"/>
      <c r="Q363" s="66"/>
      <c r="R363" s="70"/>
      <c r="S363" s="70"/>
      <c r="AF363" s="5"/>
      <c r="AG363" s="5"/>
      <c r="AH363" s="89"/>
      <c r="AI363" s="89"/>
    </row>
    <row r="364" spans="2:60" ht="17.100000000000001" customHeight="1" x14ac:dyDescent="0.2">
      <c r="B364" s="55"/>
      <c r="C364" s="115">
        <v>1000</v>
      </c>
      <c r="D364" s="94"/>
      <c r="E364" s="35" t="s">
        <v>63</v>
      </c>
      <c r="F364" s="36">
        <v>0.09</v>
      </c>
      <c r="G364" s="37">
        <f t="shared" si="17"/>
        <v>0</v>
      </c>
      <c r="H364" s="37">
        <f t="shared" si="17"/>
        <v>0</v>
      </c>
      <c r="I364" s="38"/>
      <c r="J364" s="66"/>
      <c r="K364" s="66"/>
      <c r="L364" s="66"/>
      <c r="M364" s="66"/>
      <c r="N364" s="66"/>
      <c r="O364" s="66"/>
      <c r="P364" s="96"/>
      <c r="Q364" s="66"/>
      <c r="R364" s="70"/>
      <c r="S364" s="70"/>
      <c r="AF364" s="5"/>
      <c r="AG364" s="5"/>
      <c r="AH364" s="89"/>
      <c r="AI364" s="89"/>
    </row>
    <row r="365" spans="2:60" ht="17.100000000000001" customHeight="1" x14ac:dyDescent="0.2">
      <c r="B365" s="55"/>
      <c r="C365" s="115">
        <v>1000</v>
      </c>
      <c r="D365" s="94"/>
      <c r="E365" s="76" t="s">
        <v>64</v>
      </c>
      <c r="F365" s="77">
        <v>0.06</v>
      </c>
      <c r="G365" s="37">
        <f t="shared" si="17"/>
        <v>2517023.79</v>
      </c>
      <c r="H365" s="37">
        <f t="shared" si="17"/>
        <v>2517023.79</v>
      </c>
      <c r="I365" s="38"/>
      <c r="J365" s="66"/>
      <c r="K365" s="66"/>
      <c r="L365" s="66"/>
      <c r="M365" s="66"/>
      <c r="N365" s="66"/>
      <c r="O365" s="66"/>
      <c r="P365" s="96"/>
      <c r="Q365" s="66"/>
      <c r="R365" s="70"/>
      <c r="S365" s="70"/>
      <c r="AF365" s="5"/>
      <c r="AG365" s="5"/>
      <c r="AH365" s="89"/>
      <c r="AI365" s="89"/>
      <c r="AY365" s="3">
        <v>2517023.79</v>
      </c>
      <c r="AZ365" s="3">
        <v>2517023.79</v>
      </c>
    </row>
    <row r="366" spans="2:60" ht="17.100000000000001" customHeight="1" x14ac:dyDescent="0.2">
      <c r="B366" s="55"/>
      <c r="C366" s="115">
        <v>1000</v>
      </c>
      <c r="D366" s="94" t="s">
        <v>213</v>
      </c>
      <c r="E366" s="35" t="s">
        <v>62</v>
      </c>
      <c r="F366" s="36">
        <v>0.13</v>
      </c>
      <c r="G366" s="37">
        <f t="shared" si="17"/>
        <v>0</v>
      </c>
      <c r="H366" s="37">
        <f t="shared" si="17"/>
        <v>0</v>
      </c>
      <c r="I366" s="38"/>
      <c r="J366" s="66"/>
      <c r="K366" s="66"/>
      <c r="L366" s="66"/>
      <c r="M366" s="66"/>
      <c r="N366" s="66"/>
      <c r="O366" s="66"/>
      <c r="P366" s="96"/>
      <c r="Q366" s="66"/>
      <c r="R366" s="70"/>
      <c r="S366" s="70"/>
      <c r="AF366" s="5"/>
      <c r="AG366" s="5"/>
      <c r="AH366" s="89"/>
      <c r="AI366" s="89"/>
    </row>
    <row r="367" spans="2:60" ht="17.100000000000001" customHeight="1" x14ac:dyDescent="0.2">
      <c r="B367" s="55"/>
      <c r="C367" s="115">
        <v>1000</v>
      </c>
      <c r="D367" s="94"/>
      <c r="E367" s="35" t="s">
        <v>63</v>
      </c>
      <c r="F367" s="36">
        <v>0.09</v>
      </c>
      <c r="G367" s="37">
        <f t="shared" si="17"/>
        <v>0</v>
      </c>
      <c r="H367" s="37">
        <f t="shared" si="17"/>
        <v>0</v>
      </c>
      <c r="I367" s="38"/>
      <c r="J367" s="66"/>
      <c r="K367" s="66"/>
      <c r="L367" s="66"/>
      <c r="M367" s="66"/>
      <c r="N367" s="66"/>
      <c r="O367" s="66"/>
      <c r="P367" s="96"/>
      <c r="Q367" s="66"/>
      <c r="R367" s="70"/>
      <c r="S367" s="70"/>
      <c r="AF367" s="5"/>
      <c r="AG367" s="5"/>
      <c r="AH367" s="89"/>
      <c r="AI367" s="89"/>
    </row>
    <row r="368" spans="2:60" ht="17.100000000000001" customHeight="1" x14ac:dyDescent="0.2">
      <c r="B368" s="55"/>
      <c r="C368" s="115">
        <v>1000</v>
      </c>
      <c r="D368" s="94"/>
      <c r="E368" s="76" t="s">
        <v>64</v>
      </c>
      <c r="F368" s="77">
        <v>0.06</v>
      </c>
      <c r="G368" s="37">
        <f t="shared" si="17"/>
        <v>1736477.51</v>
      </c>
      <c r="H368" s="37">
        <f t="shared" si="17"/>
        <v>1736477.51</v>
      </c>
      <c r="I368" s="38"/>
      <c r="J368" s="66"/>
      <c r="K368" s="66"/>
      <c r="L368" s="66"/>
      <c r="M368" s="66"/>
      <c r="N368" s="66"/>
      <c r="O368" s="66"/>
      <c r="P368" s="96"/>
      <c r="Q368" s="66"/>
      <c r="R368" s="70"/>
      <c r="S368" s="70"/>
      <c r="AF368" s="5"/>
      <c r="AG368" s="5"/>
      <c r="AH368" s="89"/>
      <c r="AI368" s="89"/>
      <c r="BG368" s="3">
        <v>1736477.51</v>
      </c>
      <c r="BH368" s="3">
        <v>1736477.51</v>
      </c>
    </row>
    <row r="369" spans="2:60" ht="17.100000000000001" customHeight="1" x14ac:dyDescent="0.2">
      <c r="B369" s="55"/>
      <c r="C369" s="115">
        <v>1000</v>
      </c>
      <c r="D369" s="94" t="s">
        <v>214</v>
      </c>
      <c r="E369" s="35" t="s">
        <v>62</v>
      </c>
      <c r="F369" s="36">
        <v>0.13</v>
      </c>
      <c r="G369" s="37">
        <f t="shared" si="17"/>
        <v>0</v>
      </c>
      <c r="H369" s="37">
        <f t="shared" si="17"/>
        <v>0</v>
      </c>
      <c r="I369" s="38"/>
      <c r="J369" s="66"/>
      <c r="K369" s="66"/>
      <c r="L369" s="66"/>
      <c r="M369" s="66"/>
      <c r="N369" s="66"/>
      <c r="O369" s="66"/>
      <c r="P369" s="96"/>
      <c r="Q369" s="66"/>
      <c r="R369" s="70"/>
      <c r="S369" s="70"/>
      <c r="AF369" s="5"/>
      <c r="AG369" s="5"/>
      <c r="AH369" s="89"/>
      <c r="AI369" s="89"/>
    </row>
    <row r="370" spans="2:60" ht="17.100000000000001" customHeight="1" x14ac:dyDescent="0.2">
      <c r="B370" s="55"/>
      <c r="C370" s="115">
        <v>1000</v>
      </c>
      <c r="D370" s="94"/>
      <c r="E370" s="35" t="s">
        <v>63</v>
      </c>
      <c r="F370" s="36">
        <v>0.09</v>
      </c>
      <c r="G370" s="37">
        <f t="shared" si="17"/>
        <v>0</v>
      </c>
      <c r="H370" s="37">
        <f t="shared" si="17"/>
        <v>0</v>
      </c>
      <c r="I370" s="38"/>
      <c r="J370" s="66"/>
      <c r="K370" s="66"/>
      <c r="L370" s="66"/>
      <c r="M370" s="66"/>
      <c r="N370" s="66"/>
      <c r="O370" s="66"/>
      <c r="P370" s="96"/>
      <c r="Q370" s="66"/>
      <c r="R370" s="70"/>
      <c r="S370" s="70"/>
      <c r="AF370" s="5"/>
      <c r="AG370" s="5"/>
      <c r="AH370" s="89"/>
      <c r="AI370" s="89"/>
    </row>
    <row r="371" spans="2:60" ht="17.100000000000001" customHeight="1" x14ac:dyDescent="0.2">
      <c r="B371" s="55"/>
      <c r="C371" s="115">
        <v>1000</v>
      </c>
      <c r="D371" s="94"/>
      <c r="E371" s="76" t="s">
        <v>64</v>
      </c>
      <c r="F371" s="77">
        <v>0.06</v>
      </c>
      <c r="G371" s="37">
        <f t="shared" si="17"/>
        <v>74704.100000000006</v>
      </c>
      <c r="H371" s="37">
        <f t="shared" si="17"/>
        <v>74704.100000000006</v>
      </c>
      <c r="I371" s="38"/>
      <c r="J371" s="66"/>
      <c r="K371" s="66"/>
      <c r="L371" s="66"/>
      <c r="M371" s="66"/>
      <c r="N371" s="66"/>
      <c r="O371" s="66"/>
      <c r="P371" s="96"/>
      <c r="Q371" s="66"/>
      <c r="R371" s="70"/>
      <c r="S371" s="70"/>
      <c r="AF371" s="5"/>
      <c r="AG371" s="5"/>
      <c r="AH371" s="89"/>
      <c r="AI371" s="89"/>
      <c r="BG371" s="3">
        <v>74704.100000000006</v>
      </c>
      <c r="BH371" s="3">
        <v>74704.100000000006</v>
      </c>
    </row>
    <row r="372" spans="2:60" ht="17.100000000000001" customHeight="1" x14ac:dyDescent="0.2">
      <c r="B372" s="55"/>
      <c r="C372" s="42" t="s">
        <v>153</v>
      </c>
      <c r="D372" s="94" t="s">
        <v>166</v>
      </c>
      <c r="E372" s="35" t="s">
        <v>62</v>
      </c>
      <c r="F372" s="36">
        <v>0.13</v>
      </c>
      <c r="G372" s="37">
        <f t="shared" si="17"/>
        <v>0</v>
      </c>
      <c r="H372" s="37">
        <f t="shared" si="17"/>
        <v>199488955.77000001</v>
      </c>
      <c r="I372" s="38"/>
      <c r="J372" s="66"/>
      <c r="K372" s="66"/>
      <c r="L372" s="66"/>
      <c r="M372" s="66"/>
      <c r="N372" s="66"/>
      <c r="O372" s="66"/>
      <c r="P372" s="96"/>
      <c r="Q372" s="66"/>
      <c r="R372" s="70"/>
      <c r="S372" s="70"/>
      <c r="AF372" s="5"/>
      <c r="AG372" s="5"/>
      <c r="AH372" s="89"/>
      <c r="AI372" s="89"/>
      <c r="AZ372" s="3">
        <v>199488955.77000001</v>
      </c>
      <c r="BA372" s="111">
        <v>159050800.11000001</v>
      </c>
    </row>
    <row r="373" spans="2:60" ht="17.100000000000001" customHeight="1" x14ac:dyDescent="0.2">
      <c r="B373" s="55"/>
      <c r="C373" s="44"/>
      <c r="D373" s="94"/>
      <c r="E373" s="35" t="s">
        <v>63</v>
      </c>
      <c r="F373" s="36">
        <v>0.09</v>
      </c>
      <c r="G373" s="37">
        <f t="shared" si="17"/>
        <v>0</v>
      </c>
      <c r="H373" s="37">
        <f t="shared" si="17"/>
        <v>0</v>
      </c>
      <c r="I373" s="38"/>
      <c r="J373" s="66"/>
      <c r="K373" s="66"/>
      <c r="L373" s="66"/>
      <c r="M373" s="66"/>
      <c r="N373" s="66"/>
      <c r="O373" s="66"/>
      <c r="P373" s="96"/>
      <c r="Q373" s="66"/>
      <c r="R373" s="70"/>
      <c r="S373" s="70"/>
      <c r="AF373" s="5"/>
      <c r="AG373" s="5"/>
      <c r="AH373" s="89"/>
      <c r="AI373" s="89"/>
    </row>
    <row r="374" spans="2:60" ht="17.100000000000001" customHeight="1" x14ac:dyDescent="0.2">
      <c r="B374" s="55"/>
      <c r="C374" s="45"/>
      <c r="D374" s="94"/>
      <c r="E374" s="76" t="s">
        <v>64</v>
      </c>
      <c r="F374" s="77">
        <v>0.06</v>
      </c>
      <c r="G374" s="37">
        <f t="shared" si="17"/>
        <v>0</v>
      </c>
      <c r="H374" s="37">
        <f t="shared" si="17"/>
        <v>0</v>
      </c>
      <c r="I374" s="38"/>
      <c r="J374" s="66"/>
      <c r="K374" s="66"/>
      <c r="L374" s="66"/>
      <c r="M374" s="66"/>
      <c r="N374" s="66"/>
      <c r="O374" s="66"/>
      <c r="P374" s="96"/>
      <c r="Q374" s="66"/>
      <c r="R374" s="70"/>
      <c r="S374" s="70"/>
      <c r="AF374" s="5"/>
      <c r="AG374" s="5"/>
      <c r="AH374" s="89"/>
      <c r="AI374" s="89"/>
    </row>
    <row r="375" spans="2:60" ht="17.100000000000001" customHeight="1" x14ac:dyDescent="0.2">
      <c r="B375" s="55"/>
      <c r="C375" s="42" t="s">
        <v>209</v>
      </c>
      <c r="D375" s="94" t="s">
        <v>119</v>
      </c>
      <c r="E375" s="35" t="s">
        <v>62</v>
      </c>
      <c r="F375" s="36">
        <v>0.13</v>
      </c>
      <c r="G375" s="37">
        <f t="shared" si="17"/>
        <v>0</v>
      </c>
      <c r="H375" s="37">
        <f t="shared" si="17"/>
        <v>1103206194.6900001</v>
      </c>
      <c r="I375" s="38"/>
      <c r="J375" s="66"/>
      <c r="K375" s="66"/>
      <c r="L375" s="66"/>
      <c r="M375" s="66"/>
      <c r="N375" s="66"/>
      <c r="O375" s="66"/>
      <c r="P375" s="96"/>
      <c r="Q375" s="66"/>
      <c r="R375" s="70"/>
      <c r="S375" s="70"/>
      <c r="AF375" s="5"/>
      <c r="AG375" s="5"/>
      <c r="AH375" s="89"/>
      <c r="AI375" s="89"/>
      <c r="BD375" s="3">
        <v>619735847.59000003</v>
      </c>
      <c r="BH375" s="3">
        <v>483470347.10000002</v>
      </c>
    </row>
    <row r="376" spans="2:60" ht="17.100000000000001" customHeight="1" x14ac:dyDescent="0.2">
      <c r="B376" s="55"/>
      <c r="C376" s="44"/>
      <c r="D376" s="94"/>
      <c r="E376" s="35" t="s">
        <v>63</v>
      </c>
      <c r="F376" s="36">
        <v>0.09</v>
      </c>
      <c r="G376" s="37">
        <f t="shared" si="17"/>
        <v>0</v>
      </c>
      <c r="H376" s="37">
        <f t="shared" si="17"/>
        <v>0</v>
      </c>
      <c r="I376" s="38"/>
      <c r="J376" s="66"/>
      <c r="K376" s="66"/>
      <c r="L376" s="66"/>
      <c r="M376" s="66"/>
      <c r="N376" s="66"/>
      <c r="O376" s="66"/>
      <c r="P376" s="96"/>
      <c r="Q376" s="66"/>
      <c r="R376" s="70"/>
      <c r="S376" s="70"/>
      <c r="AF376" s="5"/>
      <c r="AG376" s="5"/>
      <c r="AH376" s="89"/>
      <c r="AI376" s="89"/>
    </row>
    <row r="377" spans="2:60" ht="17.100000000000001" customHeight="1" x14ac:dyDescent="0.2">
      <c r="B377" s="55"/>
      <c r="C377" s="45"/>
      <c r="D377" s="94"/>
      <c r="E377" s="76" t="s">
        <v>64</v>
      </c>
      <c r="F377" s="77">
        <v>0.06</v>
      </c>
      <c r="G377" s="37">
        <f t="shared" si="17"/>
        <v>0</v>
      </c>
      <c r="H377" s="37">
        <f t="shared" si="17"/>
        <v>0</v>
      </c>
      <c r="I377" s="38"/>
      <c r="J377" s="66"/>
      <c r="K377" s="66"/>
      <c r="L377" s="66"/>
      <c r="M377" s="66"/>
      <c r="N377" s="66"/>
      <c r="O377" s="66"/>
      <c r="P377" s="96"/>
      <c r="Q377" s="66"/>
      <c r="R377" s="70"/>
      <c r="S377" s="70"/>
      <c r="AF377" s="5"/>
      <c r="AG377" s="5"/>
      <c r="AH377" s="89"/>
      <c r="AI377" s="89"/>
    </row>
    <row r="378" spans="2:60" ht="17.100000000000001" customHeight="1" x14ac:dyDescent="0.2">
      <c r="B378" s="55"/>
      <c r="C378" s="42" t="s">
        <v>215</v>
      </c>
      <c r="D378" s="94" t="s">
        <v>119</v>
      </c>
      <c r="E378" s="35" t="s">
        <v>62</v>
      </c>
      <c r="F378" s="36">
        <v>0.13</v>
      </c>
      <c r="G378" s="37">
        <f t="shared" si="17"/>
        <v>0</v>
      </c>
      <c r="H378" s="37">
        <f t="shared" si="17"/>
        <v>798873451.32999992</v>
      </c>
      <c r="I378" s="38"/>
      <c r="J378" s="66"/>
      <c r="K378" s="66"/>
      <c r="L378" s="66"/>
      <c r="M378" s="66"/>
      <c r="N378" s="66"/>
      <c r="O378" s="66"/>
      <c r="P378" s="96"/>
      <c r="Q378" s="66"/>
      <c r="R378" s="70"/>
      <c r="S378" s="70"/>
      <c r="AF378" s="5"/>
      <c r="AG378" s="5"/>
      <c r="AH378" s="89"/>
      <c r="AI378" s="89"/>
      <c r="BD378" s="3">
        <v>443989860.95999998</v>
      </c>
      <c r="BH378" s="3">
        <v>354883590.37</v>
      </c>
    </row>
    <row r="379" spans="2:60" ht="17.100000000000001" customHeight="1" x14ac:dyDescent="0.2">
      <c r="B379" s="55"/>
      <c r="C379" s="44"/>
      <c r="D379" s="94"/>
      <c r="E379" s="35" t="s">
        <v>63</v>
      </c>
      <c r="F379" s="36">
        <v>0.09</v>
      </c>
      <c r="G379" s="37">
        <f t="shared" si="17"/>
        <v>0</v>
      </c>
      <c r="H379" s="37">
        <f t="shared" si="17"/>
        <v>0</v>
      </c>
      <c r="I379" s="38"/>
      <c r="J379" s="66"/>
      <c r="K379" s="66"/>
      <c r="L379" s="66"/>
      <c r="M379" s="66"/>
      <c r="N379" s="66"/>
      <c r="O379" s="66"/>
      <c r="P379" s="96"/>
      <c r="Q379" s="66"/>
      <c r="R379" s="70"/>
      <c r="S379" s="70"/>
      <c r="AF379" s="5"/>
      <c r="AG379" s="5"/>
      <c r="AH379" s="89"/>
      <c r="AI379" s="89"/>
    </row>
    <row r="380" spans="2:60" ht="17.100000000000001" customHeight="1" x14ac:dyDescent="0.2">
      <c r="B380" s="55"/>
      <c r="C380" s="45"/>
      <c r="D380" s="94"/>
      <c r="E380" s="76" t="s">
        <v>64</v>
      </c>
      <c r="F380" s="77">
        <v>0.06</v>
      </c>
      <c r="G380" s="37">
        <f t="shared" si="17"/>
        <v>0</v>
      </c>
      <c r="H380" s="37">
        <f t="shared" si="17"/>
        <v>0</v>
      </c>
      <c r="I380" s="38"/>
      <c r="J380" s="66"/>
      <c r="K380" s="66"/>
      <c r="L380" s="66"/>
      <c r="M380" s="66"/>
      <c r="N380" s="66"/>
      <c r="O380" s="66"/>
      <c r="P380" s="96"/>
      <c r="Q380" s="66"/>
      <c r="R380" s="70"/>
      <c r="S380" s="70"/>
      <c r="AF380" s="5"/>
      <c r="AG380" s="5"/>
      <c r="AH380" s="89"/>
      <c r="AI380" s="89"/>
    </row>
    <row r="381" spans="2:60" ht="17.100000000000001" customHeight="1" x14ac:dyDescent="0.2">
      <c r="B381" s="55"/>
      <c r="C381" s="42" t="s">
        <v>216</v>
      </c>
      <c r="D381" s="94" t="s">
        <v>217</v>
      </c>
      <c r="E381" s="35" t="s">
        <v>62</v>
      </c>
      <c r="F381" s="36">
        <v>0.13</v>
      </c>
      <c r="G381" s="37">
        <f t="shared" si="17"/>
        <v>0</v>
      </c>
      <c r="H381" s="37">
        <f t="shared" si="17"/>
        <v>0</v>
      </c>
      <c r="I381" s="38"/>
      <c r="J381" s="66"/>
      <c r="K381" s="66"/>
      <c r="L381" s="66"/>
      <c r="M381" s="66"/>
      <c r="N381" s="66"/>
      <c r="O381" s="66"/>
      <c r="P381" s="96"/>
      <c r="Q381" s="66"/>
      <c r="R381" s="70"/>
      <c r="S381" s="70"/>
      <c r="AF381" s="5"/>
      <c r="AG381" s="5"/>
      <c r="AH381" s="89"/>
      <c r="AI381" s="89"/>
    </row>
    <row r="382" spans="2:60" ht="17.100000000000001" customHeight="1" x14ac:dyDescent="0.2">
      <c r="B382" s="55"/>
      <c r="C382" s="44"/>
      <c r="D382" s="94"/>
      <c r="E382" s="35" t="s">
        <v>63</v>
      </c>
      <c r="F382" s="36">
        <v>0.09</v>
      </c>
      <c r="G382" s="37">
        <f t="shared" si="17"/>
        <v>0</v>
      </c>
      <c r="H382" s="37">
        <f t="shared" si="17"/>
        <v>13761467.880000001</v>
      </c>
      <c r="I382" s="38"/>
      <c r="J382" s="66"/>
      <c r="K382" s="66"/>
      <c r="L382" s="66"/>
      <c r="M382" s="66"/>
      <c r="N382" s="66"/>
      <c r="O382" s="66"/>
      <c r="P382" s="96"/>
      <c r="Q382" s="66"/>
      <c r="R382" s="70"/>
      <c r="S382" s="70"/>
      <c r="AF382" s="5"/>
      <c r="AG382" s="5"/>
      <c r="AH382" s="89"/>
      <c r="AI382" s="89"/>
      <c r="BD382" s="3">
        <v>13761467.880000001</v>
      </c>
    </row>
    <row r="383" spans="2:60" ht="17.100000000000001" customHeight="1" x14ac:dyDescent="0.2">
      <c r="B383" s="55"/>
      <c r="C383" s="45"/>
      <c r="D383" s="94"/>
      <c r="E383" s="76" t="s">
        <v>64</v>
      </c>
      <c r="F383" s="77">
        <v>0.06</v>
      </c>
      <c r="G383" s="37">
        <f t="shared" si="17"/>
        <v>0</v>
      </c>
      <c r="H383" s="37">
        <f t="shared" si="17"/>
        <v>0</v>
      </c>
      <c r="I383" s="38"/>
      <c r="J383" s="66"/>
      <c r="K383" s="66"/>
      <c r="L383" s="66"/>
      <c r="M383" s="66"/>
      <c r="N383" s="66"/>
      <c r="O383" s="66"/>
      <c r="P383" s="96"/>
      <c r="Q383" s="66"/>
      <c r="R383" s="70"/>
      <c r="S383" s="70"/>
      <c r="AF383" s="5"/>
      <c r="AG383" s="5"/>
      <c r="AH383" s="89"/>
      <c r="AI383" s="89"/>
    </row>
    <row r="384" spans="2:60" ht="17.100000000000001" customHeight="1" x14ac:dyDescent="0.2">
      <c r="B384" s="55"/>
      <c r="C384" s="42" t="s">
        <v>218</v>
      </c>
      <c r="D384" s="94" t="s">
        <v>219</v>
      </c>
      <c r="E384" s="35" t="s">
        <v>62</v>
      </c>
      <c r="F384" s="36">
        <v>0.13</v>
      </c>
      <c r="G384" s="37">
        <f t="shared" si="17"/>
        <v>0</v>
      </c>
      <c r="H384" s="37">
        <f t="shared" si="17"/>
        <v>0</v>
      </c>
      <c r="I384" s="38"/>
      <c r="J384" s="66"/>
      <c r="K384" s="66"/>
      <c r="L384" s="66"/>
      <c r="M384" s="66"/>
      <c r="N384" s="66"/>
      <c r="O384" s="66"/>
      <c r="P384" s="96"/>
      <c r="Q384" s="66"/>
      <c r="R384" s="70"/>
      <c r="S384" s="70"/>
      <c r="AF384" s="5"/>
      <c r="AG384" s="5"/>
      <c r="AH384" s="89"/>
      <c r="AI384" s="89"/>
    </row>
    <row r="385" spans="2:60" ht="17.100000000000001" customHeight="1" x14ac:dyDescent="0.2">
      <c r="B385" s="55"/>
      <c r="C385" s="44"/>
      <c r="D385" s="94"/>
      <c r="E385" s="35" t="s">
        <v>63</v>
      </c>
      <c r="F385" s="36">
        <v>0.09</v>
      </c>
      <c r="G385" s="37">
        <f t="shared" si="17"/>
        <v>0</v>
      </c>
      <c r="H385" s="37">
        <f t="shared" si="17"/>
        <v>0</v>
      </c>
      <c r="I385" s="38"/>
      <c r="J385" s="66"/>
      <c r="K385" s="66"/>
      <c r="L385" s="66"/>
      <c r="M385" s="66"/>
      <c r="N385" s="66"/>
      <c r="O385" s="66"/>
      <c r="P385" s="96"/>
      <c r="Q385" s="66"/>
      <c r="R385" s="70"/>
      <c r="S385" s="70"/>
      <c r="AF385" s="5"/>
      <c r="AG385" s="5"/>
      <c r="AH385" s="89"/>
      <c r="AI385" s="89"/>
      <c r="BA385" s="111">
        <v>395103.89</v>
      </c>
    </row>
    <row r="386" spans="2:60" ht="17.100000000000001" customHeight="1" x14ac:dyDescent="0.2">
      <c r="B386" s="55"/>
      <c r="C386" s="45"/>
      <c r="D386" s="94"/>
      <c r="E386" s="76" t="s">
        <v>64</v>
      </c>
      <c r="F386" s="77">
        <v>0.06</v>
      </c>
      <c r="G386" s="37">
        <f t="shared" si="17"/>
        <v>0</v>
      </c>
      <c r="H386" s="37">
        <f t="shared" si="17"/>
        <v>0</v>
      </c>
      <c r="I386" s="38"/>
      <c r="J386" s="66"/>
      <c r="K386" s="66"/>
      <c r="L386" s="66"/>
      <c r="M386" s="66"/>
      <c r="N386" s="66"/>
      <c r="O386" s="66"/>
      <c r="P386" s="96"/>
      <c r="Q386" s="66"/>
      <c r="R386" s="70"/>
      <c r="S386" s="70"/>
      <c r="AF386" s="5"/>
      <c r="AG386" s="5"/>
      <c r="AH386" s="89"/>
      <c r="AI386" s="89"/>
    </row>
    <row r="387" spans="2:60" ht="17.100000000000001" customHeight="1" x14ac:dyDescent="0.2">
      <c r="B387" s="97"/>
      <c r="C387" s="33" t="s">
        <v>220</v>
      </c>
      <c r="D387" s="42" t="s">
        <v>221</v>
      </c>
      <c r="E387" s="35" t="s">
        <v>62</v>
      </c>
      <c r="F387" s="36">
        <v>0.13</v>
      </c>
      <c r="G387" s="37">
        <f t="shared" si="17"/>
        <v>0</v>
      </c>
      <c r="H387" s="37">
        <f t="shared" si="17"/>
        <v>0</v>
      </c>
      <c r="I387" s="38"/>
      <c r="J387" s="66"/>
      <c r="K387" s="66"/>
      <c r="L387" s="66"/>
      <c r="M387" s="66"/>
      <c r="N387" s="66"/>
      <c r="O387" s="66"/>
      <c r="P387" s="96"/>
      <c r="Q387" s="66"/>
      <c r="R387" s="70"/>
      <c r="S387" s="70"/>
      <c r="AF387" s="5"/>
      <c r="AG387" s="5"/>
      <c r="AH387" s="89"/>
      <c r="AI387" s="89"/>
    </row>
    <row r="388" spans="2:60" ht="17.100000000000001" customHeight="1" x14ac:dyDescent="0.2">
      <c r="B388" s="71"/>
      <c r="C388" s="33" t="s">
        <v>220</v>
      </c>
      <c r="D388" s="44"/>
      <c r="E388" s="35" t="s">
        <v>63</v>
      </c>
      <c r="F388" s="36">
        <v>0.09</v>
      </c>
      <c r="G388" s="37">
        <f t="shared" si="17"/>
        <v>472115</v>
      </c>
      <c r="H388" s="37">
        <f t="shared" si="17"/>
        <v>472115</v>
      </c>
      <c r="I388" s="38"/>
      <c r="J388" s="66"/>
      <c r="K388" s="66"/>
      <c r="L388" s="66"/>
      <c r="M388" s="66"/>
      <c r="N388" s="66"/>
      <c r="O388" s="66"/>
      <c r="P388" s="96"/>
      <c r="Q388" s="66"/>
      <c r="R388" s="70"/>
      <c r="S388" s="70"/>
      <c r="AF388" s="5"/>
      <c r="AG388" s="5"/>
      <c r="AH388" s="89"/>
      <c r="AI388" s="89"/>
      <c r="BG388" s="3">
        <v>472115</v>
      </c>
      <c r="BH388" s="3">
        <v>472115</v>
      </c>
    </row>
    <row r="389" spans="2:60" ht="17.100000000000001" customHeight="1" x14ac:dyDescent="0.2">
      <c r="B389" s="72"/>
      <c r="C389" s="33" t="s">
        <v>220</v>
      </c>
      <c r="D389" s="45"/>
      <c r="E389" s="35" t="s">
        <v>64</v>
      </c>
      <c r="F389" s="36">
        <v>0.06</v>
      </c>
      <c r="G389" s="37">
        <f t="shared" si="17"/>
        <v>0</v>
      </c>
      <c r="H389" s="37">
        <f t="shared" si="17"/>
        <v>0</v>
      </c>
      <c r="I389" s="38"/>
      <c r="J389" s="66"/>
      <c r="K389" s="66"/>
      <c r="L389" s="66"/>
      <c r="M389" s="66"/>
      <c r="N389" s="66"/>
      <c r="O389" s="66"/>
      <c r="P389" s="96"/>
      <c r="Q389" s="66"/>
      <c r="R389" s="70"/>
      <c r="S389" s="70"/>
      <c r="AF389" s="5"/>
      <c r="AG389" s="5"/>
      <c r="AH389" s="89"/>
      <c r="AI389" s="89"/>
    </row>
    <row r="390" spans="2:60" ht="17.100000000000001" customHeight="1" x14ac:dyDescent="0.2">
      <c r="B390" s="97"/>
      <c r="C390" s="33" t="s">
        <v>220</v>
      </c>
      <c r="D390" s="42" t="s">
        <v>222</v>
      </c>
      <c r="E390" s="35" t="s">
        <v>62</v>
      </c>
      <c r="F390" s="36">
        <v>0.13</v>
      </c>
      <c r="G390" s="37">
        <f t="shared" si="17"/>
        <v>0</v>
      </c>
      <c r="H390" s="37">
        <f t="shared" si="17"/>
        <v>0</v>
      </c>
      <c r="I390" s="38"/>
      <c r="J390" s="66"/>
      <c r="K390" s="66"/>
      <c r="L390" s="66"/>
      <c r="M390" s="66"/>
      <c r="N390" s="66"/>
      <c r="O390" s="66"/>
      <c r="P390" s="96"/>
      <c r="Q390" s="66"/>
      <c r="R390" s="70"/>
      <c r="S390" s="70"/>
      <c r="AF390" s="5"/>
      <c r="AG390" s="5"/>
      <c r="AH390" s="89"/>
      <c r="AI390" s="89"/>
    </row>
    <row r="391" spans="2:60" ht="17.100000000000001" customHeight="1" x14ac:dyDescent="0.2">
      <c r="B391" s="71"/>
      <c r="C391" s="33" t="s">
        <v>220</v>
      </c>
      <c r="D391" s="44"/>
      <c r="E391" s="35" t="s">
        <v>63</v>
      </c>
      <c r="F391" s="36">
        <v>0.09</v>
      </c>
      <c r="G391" s="37">
        <f t="shared" si="17"/>
        <v>0</v>
      </c>
      <c r="H391" s="37">
        <f t="shared" si="17"/>
        <v>0</v>
      </c>
      <c r="I391" s="38"/>
      <c r="J391" s="66"/>
      <c r="K391" s="66"/>
      <c r="L391" s="66"/>
      <c r="M391" s="66"/>
      <c r="N391" s="66"/>
      <c r="O391" s="66"/>
      <c r="P391" s="96"/>
      <c r="Q391" s="66"/>
      <c r="R391" s="70"/>
      <c r="S391" s="70"/>
      <c r="AF391" s="5"/>
      <c r="AG391" s="5"/>
      <c r="AH391" s="89"/>
      <c r="AI391" s="89"/>
    </row>
    <row r="392" spans="2:60" ht="17.100000000000001" customHeight="1" x14ac:dyDescent="0.2">
      <c r="B392" s="72"/>
      <c r="C392" s="33" t="s">
        <v>220</v>
      </c>
      <c r="D392" s="45"/>
      <c r="E392" s="35" t="s">
        <v>64</v>
      </c>
      <c r="F392" s="36">
        <v>0.06</v>
      </c>
      <c r="G392" s="37">
        <f t="shared" si="17"/>
        <v>298056.78000000003</v>
      </c>
      <c r="H392" s="37">
        <f t="shared" si="17"/>
        <v>298056.78000000003</v>
      </c>
      <c r="I392" s="38"/>
      <c r="J392" s="66"/>
      <c r="K392" s="66"/>
      <c r="L392" s="66"/>
      <c r="M392" s="66"/>
      <c r="N392" s="66"/>
      <c r="O392" s="66"/>
      <c r="P392" s="96"/>
      <c r="Q392" s="66"/>
      <c r="R392" s="70"/>
      <c r="S392" s="70"/>
      <c r="AF392" s="5"/>
      <c r="AG392" s="5"/>
      <c r="AH392" s="89"/>
      <c r="AI392" s="89"/>
      <c r="BG392" s="3">
        <v>298056.78000000003</v>
      </c>
      <c r="BH392" s="3">
        <v>298056.78000000003</v>
      </c>
    </row>
    <row r="393" spans="2:60" x14ac:dyDescent="0.2">
      <c r="B393" s="97" t="s">
        <v>223</v>
      </c>
      <c r="C393" s="33" t="s">
        <v>224</v>
      </c>
      <c r="D393" s="42" t="s">
        <v>223</v>
      </c>
      <c r="E393" s="35" t="s">
        <v>62</v>
      </c>
      <c r="F393" s="36">
        <v>0.13</v>
      </c>
      <c r="G393" s="37">
        <f t="shared" si="17"/>
        <v>0</v>
      </c>
      <c r="H393" s="37">
        <f t="shared" si="17"/>
        <v>0</v>
      </c>
      <c r="I393" s="38">
        <f t="shared" ref="I393:I401" si="19">G393-H393</f>
        <v>0</v>
      </c>
      <c r="J393" s="66"/>
      <c r="K393" s="66"/>
      <c r="L393" s="66"/>
      <c r="M393" s="66"/>
      <c r="N393" s="66"/>
      <c r="O393" s="66"/>
      <c r="P393" s="96"/>
      <c r="Q393" s="66"/>
      <c r="R393" s="70"/>
      <c r="S393" s="70"/>
      <c r="AF393" s="5"/>
      <c r="AG393" s="5"/>
      <c r="AH393" s="89"/>
      <c r="AI393" s="89"/>
    </row>
    <row r="394" spans="2:60" x14ac:dyDescent="0.2">
      <c r="B394" s="71"/>
      <c r="C394" s="33" t="s">
        <v>224</v>
      </c>
      <c r="D394" s="44"/>
      <c r="E394" s="35" t="s">
        <v>63</v>
      </c>
      <c r="F394" s="36">
        <v>0.09</v>
      </c>
      <c r="G394" s="37">
        <f t="shared" ref="G394:H402" si="20">SUM(J394,L394,N394,P394,R394,T394,V394,X394,Z394,AB394,AD394,AF394,AH394,AJ394,AL394,AN394,AP394,AR394,AU394,AW394,AY394,BC394,BG394)</f>
        <v>0</v>
      </c>
      <c r="H394" s="37">
        <f t="shared" si="20"/>
        <v>0</v>
      </c>
      <c r="I394" s="38">
        <f t="shared" si="19"/>
        <v>0</v>
      </c>
      <c r="J394" s="66"/>
      <c r="K394" s="66"/>
      <c r="L394" s="66"/>
      <c r="M394" s="66"/>
      <c r="N394" s="66"/>
      <c r="O394" s="66"/>
      <c r="P394" s="96"/>
      <c r="Q394" s="66"/>
      <c r="R394" s="70"/>
      <c r="S394" s="70"/>
      <c r="AF394" s="5"/>
      <c r="AG394" s="5"/>
      <c r="AH394" s="89"/>
      <c r="AI394" s="89"/>
    </row>
    <row r="395" spans="2:60" x14ac:dyDescent="0.2">
      <c r="B395" s="72"/>
      <c r="C395" s="33" t="s">
        <v>224</v>
      </c>
      <c r="D395" s="45"/>
      <c r="E395" s="35" t="s">
        <v>64</v>
      </c>
      <c r="F395" s="36">
        <v>0.06</v>
      </c>
      <c r="G395" s="37">
        <f t="shared" si="20"/>
        <v>0</v>
      </c>
      <c r="H395" s="37">
        <f t="shared" si="20"/>
        <v>0</v>
      </c>
      <c r="I395" s="38">
        <f t="shared" si="19"/>
        <v>0</v>
      </c>
      <c r="J395" s="66"/>
      <c r="K395" s="66"/>
      <c r="L395" s="66"/>
      <c r="M395" s="66"/>
      <c r="N395" s="66"/>
      <c r="O395" s="66"/>
      <c r="P395" s="96"/>
      <c r="Q395" s="66"/>
      <c r="R395" s="70"/>
      <c r="S395" s="70"/>
      <c r="AF395" s="5"/>
      <c r="AG395" s="5"/>
      <c r="AH395" s="89"/>
      <c r="AI395" s="89"/>
    </row>
    <row r="396" spans="2:60" x14ac:dyDescent="0.2">
      <c r="B396" s="32" t="s">
        <v>225</v>
      </c>
      <c r="C396" s="33">
        <v>1000</v>
      </c>
      <c r="D396" s="49" t="s">
        <v>225</v>
      </c>
      <c r="E396" s="35" t="s">
        <v>62</v>
      </c>
      <c r="F396" s="36">
        <v>0.13</v>
      </c>
      <c r="G396" s="37">
        <f t="shared" si="20"/>
        <v>3360049.91</v>
      </c>
      <c r="H396" s="37">
        <f t="shared" si="20"/>
        <v>3360049.91</v>
      </c>
      <c r="I396" s="38">
        <f t="shared" si="19"/>
        <v>0</v>
      </c>
      <c r="J396" s="66"/>
      <c r="K396" s="66"/>
      <c r="L396" s="66"/>
      <c r="M396" s="66"/>
      <c r="N396" s="66"/>
      <c r="O396" s="66"/>
      <c r="P396" s="96"/>
      <c r="Q396" s="66"/>
      <c r="R396" s="70"/>
      <c r="S396" s="70"/>
      <c r="AF396" s="5"/>
      <c r="AG396" s="5"/>
      <c r="AR396" s="3">
        <v>3360049.91</v>
      </c>
      <c r="AS396" s="5">
        <v>3360049.91</v>
      </c>
    </row>
    <row r="397" spans="2:60" x14ac:dyDescent="0.2">
      <c r="B397" s="32"/>
      <c r="C397" s="33">
        <v>1000</v>
      </c>
      <c r="D397" s="95"/>
      <c r="E397" s="35" t="s">
        <v>63</v>
      </c>
      <c r="F397" s="36">
        <v>0.09</v>
      </c>
      <c r="G397" s="37">
        <f t="shared" si="20"/>
        <v>0</v>
      </c>
      <c r="H397" s="37">
        <f t="shared" si="20"/>
        <v>0</v>
      </c>
      <c r="I397" s="38">
        <f t="shared" si="19"/>
        <v>0</v>
      </c>
      <c r="J397" s="66"/>
      <c r="K397" s="66"/>
      <c r="L397" s="66"/>
      <c r="M397" s="66"/>
      <c r="N397" s="66"/>
      <c r="O397" s="66"/>
      <c r="P397" s="96"/>
      <c r="Q397" s="66"/>
      <c r="R397" s="70"/>
      <c r="S397" s="70"/>
      <c r="AF397" s="5"/>
      <c r="AG397" s="5"/>
    </row>
    <row r="398" spans="2:60" x14ac:dyDescent="0.2">
      <c r="B398" s="32"/>
      <c r="C398" s="33">
        <v>1000</v>
      </c>
      <c r="D398" s="51"/>
      <c r="E398" s="35" t="s">
        <v>64</v>
      </c>
      <c r="F398" s="36">
        <v>0.06</v>
      </c>
      <c r="G398" s="37">
        <f t="shared" si="20"/>
        <v>441369.98</v>
      </c>
      <c r="H398" s="37">
        <f t="shared" si="20"/>
        <v>441369.98</v>
      </c>
      <c r="I398" s="38">
        <f t="shared" si="19"/>
        <v>0</v>
      </c>
      <c r="J398" s="66"/>
      <c r="K398" s="66"/>
      <c r="L398" s="66"/>
      <c r="M398" s="66"/>
      <c r="N398" s="66"/>
      <c r="O398" s="66"/>
      <c r="P398" s="96"/>
      <c r="Q398" s="66"/>
      <c r="R398" s="70"/>
      <c r="S398" s="70"/>
      <c r="AD398" s="5">
        <v>441369.98</v>
      </c>
      <c r="AE398" s="5">
        <v>441369.98</v>
      </c>
      <c r="AF398" s="5"/>
      <c r="AG398" s="5"/>
    </row>
    <row r="399" spans="2:60" x14ac:dyDescent="0.2">
      <c r="B399" s="32" t="s">
        <v>226</v>
      </c>
      <c r="C399" s="33">
        <v>2000</v>
      </c>
      <c r="D399" s="49" t="s">
        <v>227</v>
      </c>
      <c r="E399" s="35" t="s">
        <v>62</v>
      </c>
      <c r="F399" s="36">
        <v>0.13</v>
      </c>
      <c r="G399" s="37">
        <f t="shared" si="20"/>
        <v>686797462.01999998</v>
      </c>
      <c r="H399" s="37">
        <f t="shared" si="20"/>
        <v>686797462.01999998</v>
      </c>
      <c r="I399" s="38">
        <f t="shared" si="19"/>
        <v>0</v>
      </c>
      <c r="J399" s="66"/>
      <c r="K399" s="66"/>
      <c r="L399" s="66"/>
      <c r="M399" s="66"/>
      <c r="N399" s="66"/>
      <c r="O399" s="66"/>
      <c r="P399" s="96"/>
      <c r="Q399" s="66"/>
      <c r="R399" s="70"/>
      <c r="S399" s="70"/>
      <c r="AF399" s="5">
        <v>346672029.27999997</v>
      </c>
      <c r="AG399" s="5">
        <v>346672029.27999997</v>
      </c>
      <c r="AH399" s="46">
        <v>340125432.74000001</v>
      </c>
      <c r="AI399" s="46">
        <v>340125432.74000001</v>
      </c>
    </row>
    <row r="400" spans="2:60" s="4" customFormat="1" x14ac:dyDescent="0.2">
      <c r="B400" s="32"/>
      <c r="C400" s="33">
        <v>2000</v>
      </c>
      <c r="D400" s="95"/>
      <c r="E400" s="35" t="s">
        <v>63</v>
      </c>
      <c r="F400" s="36">
        <v>0.09</v>
      </c>
      <c r="G400" s="37">
        <f t="shared" si="20"/>
        <v>0</v>
      </c>
      <c r="H400" s="37">
        <f t="shared" si="20"/>
        <v>0</v>
      </c>
      <c r="I400" s="38">
        <f t="shared" si="19"/>
        <v>0</v>
      </c>
      <c r="J400" s="66"/>
      <c r="K400" s="66"/>
      <c r="L400" s="66"/>
      <c r="M400" s="66"/>
      <c r="N400" s="66"/>
      <c r="O400" s="66"/>
      <c r="P400" s="96"/>
      <c r="Q400" s="66"/>
      <c r="R400" s="70"/>
      <c r="S400" s="70"/>
      <c r="T400" s="5"/>
      <c r="U400" s="5"/>
      <c r="V400" s="26"/>
      <c r="W400" s="26"/>
      <c r="X400" s="26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S400" s="5"/>
      <c r="AT400" s="5"/>
      <c r="AU400" s="5"/>
      <c r="AV400" s="5"/>
      <c r="AW400" s="5"/>
      <c r="AX400" s="5"/>
    </row>
    <row r="401" spans="2:62" x14ac:dyDescent="0.2">
      <c r="B401" s="32"/>
      <c r="C401" s="33">
        <v>2000</v>
      </c>
      <c r="D401" s="51"/>
      <c r="E401" s="35" t="s">
        <v>64</v>
      </c>
      <c r="F401" s="36">
        <v>0.06</v>
      </c>
      <c r="G401" s="37">
        <f t="shared" si="20"/>
        <v>213789.33</v>
      </c>
      <c r="H401" s="37">
        <f t="shared" si="20"/>
        <v>0</v>
      </c>
      <c r="I401" s="38">
        <f t="shared" si="19"/>
        <v>213789.33</v>
      </c>
      <c r="J401" s="66"/>
      <c r="K401" s="66"/>
      <c r="L401" s="66"/>
      <c r="M401" s="66"/>
      <c r="N401" s="66"/>
      <c r="O401" s="66"/>
      <c r="P401" s="96"/>
      <c r="Q401" s="66"/>
      <c r="R401" s="70"/>
      <c r="S401" s="70"/>
      <c r="AF401" s="5">
        <v>213789.33</v>
      </c>
      <c r="AG401" s="5"/>
    </row>
    <row r="402" spans="2:62" x14ac:dyDescent="0.2">
      <c r="B402" s="117"/>
      <c r="C402" s="116"/>
      <c r="D402" s="65"/>
      <c r="E402" s="76"/>
      <c r="F402" s="77"/>
      <c r="G402" s="37">
        <f t="shared" si="20"/>
        <v>0</v>
      </c>
      <c r="H402" s="37">
        <f t="shared" si="20"/>
        <v>0</v>
      </c>
      <c r="I402" s="118"/>
      <c r="J402" s="66"/>
      <c r="K402" s="66"/>
      <c r="L402" s="66"/>
      <c r="M402" s="67"/>
      <c r="N402" s="66"/>
      <c r="O402" s="66"/>
      <c r="P402" s="68"/>
      <c r="Q402" s="66"/>
      <c r="R402" s="69"/>
      <c r="S402" s="70"/>
      <c r="X402" s="5"/>
      <c r="AF402" s="5"/>
      <c r="AG402" s="5"/>
    </row>
    <row r="403" spans="2:62" ht="15" thickBot="1" x14ac:dyDescent="0.25">
      <c r="B403" s="119" t="s">
        <v>228</v>
      </c>
      <c r="C403" s="119"/>
      <c r="D403" s="119"/>
      <c r="E403" s="119"/>
      <c r="F403" s="119"/>
      <c r="G403" s="120">
        <f>SUM(G3:G401)</f>
        <v>26085995369.110466</v>
      </c>
      <c r="H403" s="120">
        <f>SUM(H3:H401)</f>
        <v>22536672288.945793</v>
      </c>
      <c r="I403" s="120">
        <f>SUM(I3:I401)</f>
        <v>1772443664.9219491</v>
      </c>
      <c r="J403" s="121">
        <f t="shared" ref="J403:Q403" si="21">SUM(J3:J143)</f>
        <v>11960885335.572237</v>
      </c>
      <c r="K403" s="121">
        <f t="shared" si="21"/>
        <v>11569548939.015779</v>
      </c>
      <c r="L403" s="121">
        <f t="shared" si="21"/>
        <v>442396995.24000007</v>
      </c>
      <c r="M403" s="121">
        <f t="shared" si="21"/>
        <v>548139309.5200001</v>
      </c>
      <c r="N403" s="121">
        <f t="shared" si="21"/>
        <v>521251687.35000002</v>
      </c>
      <c r="O403" s="121">
        <f t="shared" si="21"/>
        <v>512442356.93000007</v>
      </c>
      <c r="P403" s="121">
        <f t="shared" si="21"/>
        <v>635908712.93000007</v>
      </c>
      <c r="Q403" s="121">
        <f t="shared" si="21"/>
        <v>547412844.71000004</v>
      </c>
      <c r="R403" s="122">
        <f>SUM(R3:R152)</f>
        <v>309033375.86000001</v>
      </c>
      <c r="S403" s="122">
        <f>SUM(S3:S152)</f>
        <v>349981310.92999995</v>
      </c>
      <c r="T403" s="122">
        <f>SUM(T3:T152)</f>
        <v>555683772.25000012</v>
      </c>
      <c r="U403" s="122">
        <f>SUM(U3:U152)</f>
        <v>517893612.47000027</v>
      </c>
      <c r="V403" s="122">
        <f>SUM(V3:V152)</f>
        <v>674585791.12000012</v>
      </c>
      <c r="W403" s="121">
        <f>SUM(W3:W151)</f>
        <v>542438903.14999998</v>
      </c>
      <c r="X403" s="122">
        <f>SUM(X3:X151)</f>
        <v>336862341.27999985</v>
      </c>
      <c r="Y403" s="122">
        <f>SUM(Y3:Y151)</f>
        <v>456598577.06</v>
      </c>
      <c r="Z403" s="122">
        <f t="shared" ref="Z403:AG403" si="22">SUM(Z3:Z402)</f>
        <v>864174011.29766548</v>
      </c>
      <c r="AA403" s="122">
        <f t="shared" si="22"/>
        <v>527157355.45000017</v>
      </c>
      <c r="AB403" s="122">
        <f t="shared" si="22"/>
        <v>931050928.11000037</v>
      </c>
      <c r="AC403" s="122">
        <f t="shared" si="22"/>
        <v>791786918.57999992</v>
      </c>
      <c r="AD403" s="122">
        <f t="shared" si="22"/>
        <v>1512649050.3800006</v>
      </c>
      <c r="AE403" s="122">
        <f t="shared" si="22"/>
        <v>1126259821.73</v>
      </c>
      <c r="AF403" s="122">
        <f t="shared" si="22"/>
        <v>431165837.96999997</v>
      </c>
      <c r="AG403" s="122">
        <f t="shared" si="22"/>
        <v>780536596.70000005</v>
      </c>
      <c r="AH403" s="25">
        <f>SUM(AH8:AH402)</f>
        <v>355584080.38999999</v>
      </c>
      <c r="AI403" s="25">
        <f>SUM(AI8:AI402)</f>
        <v>526201681.79999995</v>
      </c>
      <c r="AJ403" s="25">
        <f>SUM(AJ8:AJ402)</f>
        <v>48816137.860000014</v>
      </c>
      <c r="AK403" s="25">
        <f t="shared" ref="AK403:BJ403" si="23">SUM(AK8:AK402)</f>
        <v>476086943.89999998</v>
      </c>
      <c r="AL403" s="25">
        <f>SUM(AL8:AL402)+0.01</f>
        <v>97382183.190000027</v>
      </c>
      <c r="AM403" s="25">
        <f t="shared" si="23"/>
        <v>78604518.969999999</v>
      </c>
      <c r="AN403" s="25">
        <f t="shared" si="23"/>
        <v>50884269.899999984</v>
      </c>
      <c r="AO403" s="25">
        <f t="shared" si="23"/>
        <v>37974760.670000002</v>
      </c>
      <c r="AP403" s="25">
        <f t="shared" si="23"/>
        <v>121716054.68999994</v>
      </c>
      <c r="AQ403" s="25">
        <f t="shared" si="23"/>
        <v>236840482.67000002</v>
      </c>
      <c r="AR403" s="25">
        <f t="shared" si="23"/>
        <v>110819286.25000003</v>
      </c>
      <c r="AS403" s="25">
        <f t="shared" si="23"/>
        <v>109147812.60000002</v>
      </c>
      <c r="AT403" s="123">
        <f t="shared" si="23"/>
        <v>135329540.38</v>
      </c>
      <c r="AU403" s="25">
        <f t="shared" si="23"/>
        <v>179583690.51999995</v>
      </c>
      <c r="AV403" s="25">
        <f t="shared" si="23"/>
        <v>140167334.73000002</v>
      </c>
      <c r="AW403" s="25">
        <f t="shared" si="23"/>
        <v>174426163.1399999</v>
      </c>
      <c r="AX403" s="25">
        <f t="shared" si="23"/>
        <v>239799327.73999992</v>
      </c>
      <c r="AY403" s="25">
        <f t="shared" si="23"/>
        <v>117094624.44000003</v>
      </c>
      <c r="AZ403" s="25">
        <f t="shared" si="23"/>
        <v>313899048.51000011</v>
      </c>
      <c r="BA403" s="25">
        <f t="shared" si="23"/>
        <v>159445904</v>
      </c>
      <c r="BB403" s="25">
        <f t="shared" si="23"/>
        <v>-10674735.220000001</v>
      </c>
      <c r="BC403" s="25">
        <f t="shared" si="23"/>
        <v>1739318190.04</v>
      </c>
      <c r="BD403" s="25">
        <f t="shared" si="23"/>
        <v>1013212112.9600002</v>
      </c>
      <c r="BE403" s="25">
        <f t="shared" si="23"/>
        <v>0</v>
      </c>
      <c r="BF403" s="25">
        <f t="shared" si="23"/>
        <v>0</v>
      </c>
      <c r="BG403" s="25">
        <f t="shared" si="23"/>
        <v>3914722849.3405709</v>
      </c>
      <c r="BH403" s="25">
        <f t="shared" si="23"/>
        <v>1094541718.1499999</v>
      </c>
      <c r="BI403" s="25">
        <f t="shared" si="23"/>
        <v>0</v>
      </c>
      <c r="BJ403" s="25">
        <f t="shared" si="23"/>
        <v>0</v>
      </c>
    </row>
    <row r="404" spans="2:62" x14ac:dyDescent="0.2">
      <c r="I404" s="124" t="s">
        <v>229</v>
      </c>
      <c r="J404" s="4">
        <v>11960885335.572201</v>
      </c>
      <c r="K404" s="4">
        <v>11569548939.0158</v>
      </c>
      <c r="L404" s="4">
        <v>442396995.24000001</v>
      </c>
      <c r="M404" s="4">
        <v>548139309.51999998</v>
      </c>
      <c r="N404" s="4">
        <v>521251687.35194701</v>
      </c>
      <c r="O404" s="4">
        <v>512442356.93000001</v>
      </c>
      <c r="P404" s="4">
        <v>635908712.92999995</v>
      </c>
      <c r="Q404" s="4">
        <v>547412844.71000004</v>
      </c>
      <c r="R404" s="5">
        <v>309033375.86000001</v>
      </c>
      <c r="S404" s="5">
        <v>349981310.93000001</v>
      </c>
      <c r="T404" s="5">
        <v>490442268.61000001</v>
      </c>
      <c r="U404" s="5">
        <v>517893612.47000003</v>
      </c>
      <c r="V404" s="26">
        <v>674585791.11000001</v>
      </c>
      <c r="W404" s="26">
        <v>542438903.14999998</v>
      </c>
      <c r="X404" s="5">
        <v>336862341.27999997</v>
      </c>
      <c r="Y404" s="5">
        <f>[1]累计税金汇总表!L4</f>
        <v>140167334.72999999</v>
      </c>
      <c r="Z404" s="5">
        <v>864174011.297665</v>
      </c>
      <c r="AA404" s="5">
        <v>527157355.44999999</v>
      </c>
      <c r="AB404" s="5">
        <v>931050928.11000001</v>
      </c>
      <c r="AC404" s="5">
        <v>791786918.58000004</v>
      </c>
      <c r="AD404" s="5">
        <v>1512649050.3800001</v>
      </c>
      <c r="AE404" s="5">
        <v>1126259821.73</v>
      </c>
      <c r="AF404" s="5">
        <v>431165837.97000003</v>
      </c>
      <c r="AG404" s="5">
        <v>780536596.70000005</v>
      </c>
      <c r="AH404" s="5">
        <f t="shared" ref="AH404:BJ404" si="24">AH403</f>
        <v>355584080.38999999</v>
      </c>
      <c r="AI404" s="5">
        <f t="shared" si="24"/>
        <v>526201681.79999995</v>
      </c>
      <c r="AJ404" s="5">
        <f t="shared" si="24"/>
        <v>48816137.860000014</v>
      </c>
      <c r="AK404" s="5">
        <f t="shared" si="24"/>
        <v>476086943.89999998</v>
      </c>
      <c r="AL404" s="5">
        <f t="shared" si="24"/>
        <v>97382183.190000027</v>
      </c>
      <c r="AM404" s="5">
        <f t="shared" si="24"/>
        <v>78604518.969999999</v>
      </c>
      <c r="AN404" s="5">
        <f t="shared" si="24"/>
        <v>50884269.899999984</v>
      </c>
      <c r="AO404" s="5">
        <f t="shared" si="24"/>
        <v>37974760.670000002</v>
      </c>
      <c r="AP404" s="5">
        <f t="shared" si="24"/>
        <v>121716054.68999994</v>
      </c>
      <c r="AQ404" s="5">
        <f t="shared" si="24"/>
        <v>236840482.67000002</v>
      </c>
      <c r="AR404" s="5">
        <f t="shared" si="24"/>
        <v>110819286.25000003</v>
      </c>
      <c r="AS404" s="5">
        <f t="shared" si="24"/>
        <v>109147812.60000002</v>
      </c>
      <c r="AT404" s="108">
        <f t="shared" si="24"/>
        <v>135329540.38</v>
      </c>
      <c r="AU404" s="5">
        <f t="shared" si="24"/>
        <v>179583690.51999995</v>
      </c>
      <c r="AV404" s="5">
        <f t="shared" si="24"/>
        <v>140167334.73000002</v>
      </c>
      <c r="AW404" s="5">
        <f t="shared" si="24"/>
        <v>174426163.1399999</v>
      </c>
      <c r="AX404" s="5">
        <f t="shared" si="24"/>
        <v>239799327.73999992</v>
      </c>
      <c r="AY404" s="5">
        <f t="shared" si="24"/>
        <v>117094624.44000003</v>
      </c>
      <c r="AZ404" s="5">
        <f t="shared" si="24"/>
        <v>313899048.51000011</v>
      </c>
      <c r="BA404" s="5">
        <f t="shared" si="24"/>
        <v>159445904</v>
      </c>
      <c r="BB404" s="5">
        <f t="shared" si="24"/>
        <v>-10674735.220000001</v>
      </c>
      <c r="BC404" s="5">
        <f t="shared" si="24"/>
        <v>1739318190.04</v>
      </c>
      <c r="BD404" s="5">
        <f t="shared" si="24"/>
        <v>1013212112.9600002</v>
      </c>
      <c r="BE404" s="5">
        <f t="shared" si="24"/>
        <v>0</v>
      </c>
      <c r="BF404" s="5">
        <f t="shared" si="24"/>
        <v>0</v>
      </c>
      <c r="BG404" s="5">
        <f t="shared" si="24"/>
        <v>3914722849.3405709</v>
      </c>
      <c r="BH404" s="5">
        <f t="shared" si="24"/>
        <v>1094541718.1499999</v>
      </c>
      <c r="BI404" s="5">
        <f t="shared" si="24"/>
        <v>0</v>
      </c>
      <c r="BJ404" s="5">
        <f t="shared" si="24"/>
        <v>0</v>
      </c>
    </row>
    <row r="405" spans="2:62" s="4" customFormat="1" x14ac:dyDescent="0.2">
      <c r="B405" s="1"/>
      <c r="C405" s="2"/>
      <c r="D405" s="3"/>
      <c r="I405" s="125" t="s">
        <v>230</v>
      </c>
      <c r="J405" s="126">
        <f t="shared" ref="J405:AG405" si="25">J403-J404</f>
        <v>3.62396240234375E-5</v>
      </c>
      <c r="K405" s="126">
        <f t="shared" si="25"/>
        <v>-2.09808349609375E-5</v>
      </c>
      <c r="L405" s="126">
        <f t="shared" si="25"/>
        <v>0</v>
      </c>
      <c r="M405" s="126">
        <f t="shared" si="25"/>
        <v>0</v>
      </c>
      <c r="N405" s="126">
        <f t="shared" si="25"/>
        <v>-1.9469857215881348E-3</v>
      </c>
      <c r="O405" s="126">
        <f t="shared" si="25"/>
        <v>0</v>
      </c>
      <c r="P405" s="126">
        <f t="shared" si="25"/>
        <v>0</v>
      </c>
      <c r="Q405" s="126">
        <f t="shared" si="25"/>
        <v>0</v>
      </c>
      <c r="R405" s="126">
        <f t="shared" si="25"/>
        <v>0</v>
      </c>
      <c r="S405" s="126">
        <f t="shared" si="25"/>
        <v>0</v>
      </c>
      <c r="T405" s="126">
        <f t="shared" si="25"/>
        <v>65241503.640000105</v>
      </c>
      <c r="U405" s="126">
        <f t="shared" si="25"/>
        <v>0</v>
      </c>
      <c r="V405" s="126">
        <f t="shared" si="25"/>
        <v>1.0000109672546387E-2</v>
      </c>
      <c r="W405" s="126">
        <f t="shared" si="25"/>
        <v>0</v>
      </c>
      <c r="X405" s="126">
        <f t="shared" si="25"/>
        <v>0</v>
      </c>
      <c r="Y405" s="126">
        <f t="shared" si="25"/>
        <v>316431242.33000004</v>
      </c>
      <c r="Z405" s="126">
        <f t="shared" si="25"/>
        <v>0</v>
      </c>
      <c r="AA405" s="126">
        <f t="shared" si="25"/>
        <v>0</v>
      </c>
      <c r="AB405" s="126">
        <f t="shared" si="25"/>
        <v>0</v>
      </c>
      <c r="AC405" s="126">
        <f t="shared" si="25"/>
        <v>0</v>
      </c>
      <c r="AD405" s="126">
        <f t="shared" si="25"/>
        <v>0</v>
      </c>
      <c r="AE405" s="126">
        <f t="shared" si="25"/>
        <v>0</v>
      </c>
      <c r="AF405" s="126">
        <f t="shared" si="25"/>
        <v>0</v>
      </c>
      <c r="AG405" s="126">
        <f t="shared" si="25"/>
        <v>0</v>
      </c>
      <c r="AH405" s="5"/>
      <c r="AI405" s="5"/>
      <c r="AS405" s="5"/>
      <c r="AT405" s="5"/>
      <c r="AU405" s="5"/>
      <c r="AV405" s="5"/>
      <c r="AW405" s="5"/>
      <c r="AX405" s="5"/>
    </row>
    <row r="406" spans="2:62" s="4" customFormat="1" x14ac:dyDescent="0.2">
      <c r="B406" s="1"/>
      <c r="C406" s="2"/>
      <c r="D406" s="3"/>
      <c r="I406" s="124"/>
      <c r="P406" s="126"/>
      <c r="Q406" s="126"/>
      <c r="R406" s="126"/>
      <c r="S406" s="126"/>
      <c r="T406" s="5"/>
      <c r="U406" s="5"/>
      <c r="V406" s="26"/>
      <c r="W406" s="26"/>
      <c r="X406" s="26"/>
      <c r="Y406" s="5"/>
      <c r="Z406" s="5"/>
      <c r="AA406" s="5"/>
      <c r="AB406" s="5"/>
      <c r="AC406" s="5"/>
      <c r="AD406" s="5"/>
      <c r="AE406" s="5"/>
      <c r="AF406" s="127"/>
      <c r="AG406" s="3"/>
      <c r="AH406" s="5"/>
      <c r="AI406" s="5">
        <f>SUBTOTAL(9,AI25:AI395)</f>
        <v>275083536.17999995</v>
      </c>
      <c r="AS406" s="5"/>
      <c r="AT406" s="5"/>
      <c r="AU406" s="5"/>
      <c r="AV406" s="5"/>
      <c r="AW406" s="5"/>
      <c r="AX406" s="5"/>
    </row>
    <row r="407" spans="2:62" s="4" customFormat="1" x14ac:dyDescent="0.2">
      <c r="B407" s="1"/>
      <c r="C407" s="2"/>
      <c r="D407" s="3"/>
      <c r="R407" s="5"/>
      <c r="S407" s="5"/>
      <c r="T407" s="5"/>
      <c r="U407" s="5"/>
      <c r="V407" s="26"/>
      <c r="W407" s="26"/>
      <c r="X407" s="26"/>
      <c r="Y407" s="5"/>
      <c r="Z407" s="5"/>
      <c r="AA407" s="5"/>
      <c r="AB407" s="5"/>
      <c r="AC407" s="5"/>
      <c r="AD407" s="5"/>
      <c r="AE407" s="5"/>
      <c r="AF407" s="3"/>
      <c r="AG407" s="3"/>
      <c r="AH407" s="5"/>
      <c r="AI407" s="5"/>
      <c r="AS407" s="5"/>
      <c r="AT407" s="5"/>
      <c r="AU407" s="5"/>
      <c r="AV407" s="5"/>
      <c r="AW407" s="5"/>
      <c r="AX407" s="5"/>
    </row>
    <row r="408" spans="2:62" s="4" customFormat="1" x14ac:dyDescent="0.2">
      <c r="B408" s="1"/>
      <c r="C408" s="2"/>
      <c r="D408" s="3"/>
      <c r="H408" s="4">
        <f>SUM(H413:H415)</f>
        <v>5771135663.8205738</v>
      </c>
      <c r="I408" s="4">
        <f>SUM(I413:I415)</f>
        <v>699626843.1121403</v>
      </c>
      <c r="J408" s="4">
        <f>SUM(J411:J415)</f>
        <v>11960885335.572237</v>
      </c>
      <c r="K408" s="4">
        <f>SUM(K411:K415)</f>
        <v>11569548939.015779</v>
      </c>
      <c r="L408" s="4">
        <f t="shared" ref="L408:BJ408" si="26">SUM(L411:L415)</f>
        <v>442396995.24000001</v>
      </c>
      <c r="M408" s="4">
        <f t="shared" si="26"/>
        <v>548139309.51999998</v>
      </c>
      <c r="N408" s="4">
        <f t="shared" si="26"/>
        <v>521251687.35194701</v>
      </c>
      <c r="O408" s="4">
        <f t="shared" si="26"/>
        <v>512442356.93000001</v>
      </c>
      <c r="P408" s="4">
        <f t="shared" si="26"/>
        <v>635908712.92999995</v>
      </c>
      <c r="Q408" s="4">
        <f t="shared" si="26"/>
        <v>547412844.71000004</v>
      </c>
      <c r="R408" s="5">
        <f t="shared" si="26"/>
        <v>309033375.86000001</v>
      </c>
      <c r="S408" s="5">
        <f t="shared" si="26"/>
        <v>349981310.93000001</v>
      </c>
      <c r="T408" s="5">
        <f t="shared" si="26"/>
        <v>555683772.25</v>
      </c>
      <c r="U408" s="5">
        <f t="shared" si="26"/>
        <v>517893612.46999997</v>
      </c>
      <c r="V408" s="5">
        <f t="shared" si="26"/>
        <v>674585791.12</v>
      </c>
      <c r="W408" s="5">
        <f t="shared" si="26"/>
        <v>542438903.14999998</v>
      </c>
      <c r="X408" s="5">
        <f t="shared" si="26"/>
        <v>336862341.28000003</v>
      </c>
      <c r="Y408" s="5">
        <f t="shared" si="26"/>
        <v>456598577.06</v>
      </c>
      <c r="Z408" s="5">
        <f t="shared" si="26"/>
        <v>864174011.29766524</v>
      </c>
      <c r="AA408" s="5">
        <f t="shared" si="26"/>
        <v>527157355.44999999</v>
      </c>
      <c r="AB408" s="5">
        <f t="shared" si="26"/>
        <v>931050928.11000001</v>
      </c>
      <c r="AC408" s="5">
        <f t="shared" si="26"/>
        <v>791786918.58000004</v>
      </c>
      <c r="AD408" s="5">
        <f t="shared" si="26"/>
        <v>1512649050.3800001</v>
      </c>
      <c r="AE408" s="5">
        <f t="shared" si="26"/>
        <v>1126259821.73</v>
      </c>
      <c r="AF408" s="5">
        <f t="shared" si="26"/>
        <v>431165837.96999997</v>
      </c>
      <c r="AG408" s="5">
        <f t="shared" si="26"/>
        <v>780536596.69999993</v>
      </c>
      <c r="AH408" s="5">
        <f t="shared" si="26"/>
        <v>355584080.39999998</v>
      </c>
      <c r="AI408" s="5">
        <f t="shared" si="26"/>
        <v>526201681.80000001</v>
      </c>
      <c r="AJ408" s="5">
        <f t="shared" si="26"/>
        <v>48816137.859999992</v>
      </c>
      <c r="AK408" s="5">
        <f t="shared" si="26"/>
        <v>476086943.89999998</v>
      </c>
      <c r="AL408" s="5">
        <f t="shared" si="26"/>
        <v>97382183.185000002</v>
      </c>
      <c r="AM408" s="5">
        <f t="shared" si="26"/>
        <v>78604518.969999999</v>
      </c>
      <c r="AN408" s="5">
        <f t="shared" si="26"/>
        <v>50884269.899999999</v>
      </c>
      <c r="AO408" s="5">
        <f t="shared" si="26"/>
        <v>37974760.670000002</v>
      </c>
      <c r="AP408" s="5">
        <f t="shared" si="26"/>
        <v>121716054.69</v>
      </c>
      <c r="AQ408" s="5">
        <f t="shared" si="26"/>
        <v>236840482.67000002</v>
      </c>
      <c r="AR408" s="5">
        <f t="shared" si="26"/>
        <v>110819286.25</v>
      </c>
      <c r="AS408" s="5">
        <f t="shared" si="26"/>
        <v>109147812.59999999</v>
      </c>
      <c r="AT408" s="5">
        <f t="shared" si="26"/>
        <v>135329540.37999997</v>
      </c>
      <c r="AU408" s="5">
        <f t="shared" si="26"/>
        <v>179583690.52000001</v>
      </c>
      <c r="AV408" s="5">
        <f t="shared" si="26"/>
        <v>140167334.72999999</v>
      </c>
      <c r="AW408" s="5">
        <f t="shared" si="26"/>
        <v>174426163.13999999</v>
      </c>
      <c r="AX408" s="5">
        <f t="shared" si="26"/>
        <v>239799327.74000001</v>
      </c>
      <c r="AY408" s="5">
        <f t="shared" si="26"/>
        <v>117094624.44</v>
      </c>
      <c r="AZ408" s="5">
        <f t="shared" si="26"/>
        <v>313899048.50999999</v>
      </c>
      <c r="BA408" s="5">
        <f t="shared" si="26"/>
        <v>159445904</v>
      </c>
      <c r="BB408" s="5">
        <f t="shared" si="26"/>
        <v>-10674735.220000001</v>
      </c>
      <c r="BC408" s="5">
        <f t="shared" si="26"/>
        <v>1739318190.0399997</v>
      </c>
      <c r="BD408" s="5">
        <f t="shared" si="26"/>
        <v>1013212112.96</v>
      </c>
      <c r="BE408" s="5">
        <f t="shared" si="26"/>
        <v>0</v>
      </c>
      <c r="BF408" s="5">
        <f t="shared" si="26"/>
        <v>-283576878.37</v>
      </c>
      <c r="BG408" s="5">
        <f t="shared" si="26"/>
        <v>3914722849.3405733</v>
      </c>
      <c r="BH408" s="5">
        <f t="shared" si="26"/>
        <v>1094541718.1499999</v>
      </c>
      <c r="BI408" s="5">
        <f t="shared" si="26"/>
        <v>0</v>
      </c>
      <c r="BJ408" s="5">
        <f t="shared" si="26"/>
        <v>0</v>
      </c>
    </row>
    <row r="409" spans="2:62" s="4" customFormat="1" x14ac:dyDescent="0.2">
      <c r="B409" s="1"/>
      <c r="C409" s="128" t="s">
        <v>4</v>
      </c>
      <c r="D409" s="128" t="s">
        <v>231</v>
      </c>
      <c r="E409" s="128" t="s">
        <v>6</v>
      </c>
      <c r="F409" s="129" t="s">
        <v>232</v>
      </c>
      <c r="G409" s="129" t="s">
        <v>233</v>
      </c>
      <c r="H409" s="130" t="s">
        <v>234</v>
      </c>
      <c r="I409" s="130" t="s">
        <v>235</v>
      </c>
      <c r="J409" s="131" t="s">
        <v>236</v>
      </c>
      <c r="K409" s="132"/>
      <c r="L409" s="131">
        <v>202403</v>
      </c>
      <c r="M409" s="132"/>
      <c r="N409" s="131">
        <v>202404</v>
      </c>
      <c r="O409" s="132"/>
      <c r="P409" s="131">
        <v>202405</v>
      </c>
      <c r="Q409" s="132"/>
      <c r="R409" s="131">
        <v>202406</v>
      </c>
      <c r="S409" s="132"/>
      <c r="T409" s="131">
        <v>202407</v>
      </c>
      <c r="U409" s="132"/>
      <c r="V409" s="131">
        <v>202408</v>
      </c>
      <c r="W409" s="132"/>
      <c r="X409" s="131">
        <v>202409</v>
      </c>
      <c r="Y409" s="132"/>
      <c r="Z409" s="133">
        <v>202410</v>
      </c>
      <c r="AA409" s="134"/>
      <c r="AB409" s="133">
        <v>202411</v>
      </c>
      <c r="AC409" s="135"/>
      <c r="AD409" s="133">
        <v>202412</v>
      </c>
      <c r="AE409" s="135"/>
      <c r="AF409" s="133">
        <v>202501</v>
      </c>
      <c r="AG409" s="135"/>
      <c r="AH409" s="133">
        <v>202502</v>
      </c>
      <c r="AI409" s="135"/>
      <c r="AJ409" s="133">
        <v>202503</v>
      </c>
      <c r="AK409" s="135"/>
      <c r="AL409" s="133">
        <v>202504</v>
      </c>
      <c r="AM409" s="135"/>
      <c r="AN409" s="133">
        <v>202505</v>
      </c>
      <c r="AO409" s="135"/>
      <c r="AP409" s="133">
        <v>202506</v>
      </c>
      <c r="AQ409" s="135"/>
      <c r="AR409" s="133">
        <v>202507</v>
      </c>
      <c r="AS409" s="135"/>
      <c r="AT409" s="136">
        <v>202508</v>
      </c>
      <c r="AU409" s="137"/>
      <c r="AV409" s="134"/>
      <c r="AW409" s="138">
        <v>202509</v>
      </c>
      <c r="AX409" s="139"/>
      <c r="AY409" s="140">
        <v>202510</v>
      </c>
      <c r="AZ409" s="141"/>
      <c r="BA409" s="142"/>
      <c r="BB409" s="143"/>
      <c r="BC409" s="140">
        <v>202511</v>
      </c>
      <c r="BD409" s="141"/>
      <c r="BE409" s="142"/>
      <c r="BF409" s="143"/>
      <c r="BG409" s="140">
        <v>202511</v>
      </c>
      <c r="BH409" s="141"/>
      <c r="BI409" s="142"/>
      <c r="BJ409" s="143"/>
    </row>
    <row r="410" spans="2:62" s="4" customFormat="1" x14ac:dyDescent="0.2">
      <c r="B410" s="1"/>
      <c r="C410" s="144"/>
      <c r="D410" s="144"/>
      <c r="E410" s="144"/>
      <c r="F410" s="129"/>
      <c r="G410" s="129"/>
      <c r="H410" s="130"/>
      <c r="I410" s="130"/>
      <c r="J410" s="145" t="s">
        <v>237</v>
      </c>
      <c r="K410" s="145" t="s">
        <v>238</v>
      </c>
      <c r="L410" s="145" t="s">
        <v>237</v>
      </c>
      <c r="M410" s="145" t="s">
        <v>238</v>
      </c>
      <c r="N410" s="145" t="s">
        <v>237</v>
      </c>
      <c r="O410" s="145" t="s">
        <v>238</v>
      </c>
      <c r="P410" s="145" t="s">
        <v>237</v>
      </c>
      <c r="Q410" s="145" t="s">
        <v>238</v>
      </c>
      <c r="R410" s="146" t="s">
        <v>237</v>
      </c>
      <c r="S410" s="146" t="s">
        <v>238</v>
      </c>
      <c r="T410" s="145" t="s">
        <v>237</v>
      </c>
      <c r="U410" s="145" t="s">
        <v>238</v>
      </c>
      <c r="V410" s="147" t="s">
        <v>237</v>
      </c>
      <c r="W410" s="147" t="s">
        <v>238</v>
      </c>
      <c r="X410" s="147" t="s">
        <v>237</v>
      </c>
      <c r="Y410" s="147" t="s">
        <v>238</v>
      </c>
      <c r="Z410" s="147" t="s">
        <v>237</v>
      </c>
      <c r="AA410" s="147" t="s">
        <v>238</v>
      </c>
      <c r="AB410" s="147" t="s">
        <v>237</v>
      </c>
      <c r="AC410" s="147" t="s">
        <v>238</v>
      </c>
      <c r="AD410" s="147" t="s">
        <v>237</v>
      </c>
      <c r="AE410" s="147" t="s">
        <v>238</v>
      </c>
      <c r="AF410" s="147" t="s">
        <v>237</v>
      </c>
      <c r="AG410" s="147" t="s">
        <v>238</v>
      </c>
      <c r="AH410" s="147" t="s">
        <v>237</v>
      </c>
      <c r="AI410" s="147" t="s">
        <v>238</v>
      </c>
      <c r="AJ410" s="147" t="s">
        <v>237</v>
      </c>
      <c r="AK410" s="147" t="s">
        <v>238</v>
      </c>
      <c r="AL410" s="147" t="s">
        <v>237</v>
      </c>
      <c r="AM410" s="147" t="s">
        <v>238</v>
      </c>
      <c r="AN410" s="147" t="s">
        <v>237</v>
      </c>
      <c r="AO410" s="147" t="s">
        <v>238</v>
      </c>
      <c r="AP410" s="147" t="s">
        <v>237</v>
      </c>
      <c r="AQ410" s="147" t="s">
        <v>238</v>
      </c>
      <c r="AR410" s="147" t="s">
        <v>237</v>
      </c>
      <c r="AS410" s="147" t="s">
        <v>238</v>
      </c>
      <c r="AT410" s="148" t="s">
        <v>239</v>
      </c>
      <c r="AU410" s="147" t="s">
        <v>237</v>
      </c>
      <c r="AV410" s="147" t="s">
        <v>238</v>
      </c>
      <c r="AW410" s="149" t="s">
        <v>237</v>
      </c>
      <c r="AX410" s="150" t="s">
        <v>238</v>
      </c>
      <c r="AY410" s="151" t="s">
        <v>237</v>
      </c>
      <c r="AZ410" s="152" t="s">
        <v>238</v>
      </c>
      <c r="BA410" s="153" t="s">
        <v>240</v>
      </c>
      <c r="BB410" s="153" t="s">
        <v>241</v>
      </c>
      <c r="BC410" s="151" t="s">
        <v>237</v>
      </c>
      <c r="BD410" s="152" t="s">
        <v>238</v>
      </c>
      <c r="BE410" s="153" t="s">
        <v>240</v>
      </c>
      <c r="BF410" s="153" t="s">
        <v>241</v>
      </c>
      <c r="BG410" s="151" t="s">
        <v>237</v>
      </c>
      <c r="BH410" s="152" t="s">
        <v>238</v>
      </c>
      <c r="BI410" s="153" t="s">
        <v>240</v>
      </c>
      <c r="BJ410" s="153" t="s">
        <v>241</v>
      </c>
    </row>
    <row r="411" spans="2:62" s="4" customFormat="1" x14ac:dyDescent="0.2">
      <c r="B411" s="1"/>
      <c r="C411" s="154">
        <v>0.16</v>
      </c>
      <c r="D411" s="155">
        <f>SUM(J411,L411,N411,P411,R411,T411)</f>
        <v>467927.47985308501</v>
      </c>
      <c r="E411" s="155">
        <f>SUM(K411,M411,O411,Q411,S411,U411)</f>
        <v>88819830.209999993</v>
      </c>
      <c r="F411" s="156">
        <f>MAX(D411:E411)*C411</f>
        <v>14211172.8336</v>
      </c>
      <c r="G411" s="157">
        <f>F411/C411</f>
        <v>88819830.209999993</v>
      </c>
      <c r="H411" s="158"/>
      <c r="I411" s="158">
        <f t="shared" ref="I411:I415" si="27">H411*C411</f>
        <v>0</v>
      </c>
      <c r="J411" s="22">
        <v>467927.47985308501</v>
      </c>
      <c r="K411" s="22">
        <v>88819830.209999993</v>
      </c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5"/>
      <c r="AA411" s="5"/>
      <c r="AB411" s="5"/>
      <c r="AC411" s="5"/>
      <c r="AD411" s="5"/>
      <c r="AE411" s="5"/>
      <c r="AH411" s="5"/>
      <c r="AI411" s="5"/>
      <c r="AS411" s="5"/>
      <c r="AT411" s="108"/>
      <c r="AU411" s="5"/>
      <c r="AV411" s="5"/>
      <c r="AW411" s="159"/>
      <c r="AX411" s="159"/>
      <c r="AY411" s="159"/>
      <c r="AZ411" s="159"/>
      <c r="BA411" s="160"/>
      <c r="BB411" s="160"/>
      <c r="BC411" s="159"/>
      <c r="BD411" s="159"/>
      <c r="BE411" s="160"/>
      <c r="BF411" s="160"/>
      <c r="BG411" s="159"/>
      <c r="BH411" s="159"/>
      <c r="BI411" s="160"/>
      <c r="BJ411" s="160"/>
    </row>
    <row r="412" spans="2:62" s="4" customFormat="1" x14ac:dyDescent="0.2">
      <c r="B412" s="1"/>
      <c r="C412" s="154">
        <v>0.1</v>
      </c>
      <c r="D412" s="155">
        <f>SUM(J412,L412,N412,P412,R412,T412)</f>
        <v>-125644385.531721</v>
      </c>
      <c r="E412" s="155">
        <f t="shared" ref="E412" si="28">SUM(K412,M412,O412,Q412,S412,U412)</f>
        <v>-47524533.149999999</v>
      </c>
      <c r="F412" s="156">
        <f t="shared" ref="F412:F415" si="29">MAX(D412:E412)*C412</f>
        <v>-4752453.3150000004</v>
      </c>
      <c r="G412" s="157">
        <f t="shared" ref="G412:G415" si="30">F412/C412</f>
        <v>-47524533.149999999</v>
      </c>
      <c r="H412" s="158"/>
      <c r="I412" s="158">
        <f t="shared" si="27"/>
        <v>0</v>
      </c>
      <c r="J412" s="22">
        <v>-125644385.531721</v>
      </c>
      <c r="K412" s="22">
        <v>-47524533.149999999</v>
      </c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5"/>
      <c r="AA412" s="5"/>
      <c r="AB412" s="5"/>
      <c r="AC412" s="5"/>
      <c r="AD412" s="5"/>
      <c r="AE412" s="5"/>
      <c r="AH412" s="5"/>
      <c r="AI412" s="5"/>
      <c r="AS412" s="5"/>
      <c r="AT412" s="108"/>
      <c r="AU412" s="5"/>
      <c r="AV412" s="5"/>
      <c r="AW412" s="159"/>
      <c r="AX412" s="159"/>
      <c r="AY412" s="159"/>
      <c r="AZ412" s="159"/>
      <c r="BA412" s="160"/>
      <c r="BB412" s="160"/>
      <c r="BC412" s="159"/>
      <c r="BD412" s="159"/>
      <c r="BE412" s="160"/>
      <c r="BF412" s="160"/>
      <c r="BG412" s="159"/>
      <c r="BH412" s="159"/>
      <c r="BI412" s="160"/>
      <c r="BJ412" s="160"/>
    </row>
    <row r="413" spans="2:62" x14ac:dyDescent="0.2">
      <c r="C413" s="154">
        <v>0.13</v>
      </c>
      <c r="D413" s="161">
        <f t="shared" ref="D413:E415" si="31">SUM(J413,L413,N413,P413,R413,T413,V413,X413,Z413,AB413,AD413,AF413,AH413,AJ413,AL413,AN413,AP413,AR413,AU413,AW413,AY413,BC413,BG413)</f>
        <v>14683642901.704023</v>
      </c>
      <c r="E413" s="161">
        <f t="shared" si="31"/>
        <v>11835991066.45422</v>
      </c>
      <c r="F413" s="156">
        <f t="shared" si="29"/>
        <v>1908873577.221523</v>
      </c>
      <c r="G413" s="157">
        <f t="shared" si="30"/>
        <v>14683642901.704023</v>
      </c>
      <c r="H413" s="158">
        <f>G413-SUM(J413,L413,N413,P413,R413,T413,V413,X413,Z413,AB413,AD413,AF413,AH413,AJ413,AL413,AN413,AP413,AR413,AU413,AW413)</f>
        <v>4632631431.1643696</v>
      </c>
      <c r="I413" s="158">
        <f t="shared" si="27"/>
        <v>602242086.05136812</v>
      </c>
      <c r="J413" s="22">
        <v>6608548542.9727097</v>
      </c>
      <c r="K413" s="22">
        <v>6267048842.4142199</v>
      </c>
      <c r="L413" s="25">
        <v>183454228.03</v>
      </c>
      <c r="M413" s="25">
        <v>194603027.22</v>
      </c>
      <c r="N413" s="25">
        <v>202715844.09194699</v>
      </c>
      <c r="O413" s="25">
        <v>81240969.980000004</v>
      </c>
      <c r="P413" s="25">
        <v>307765651.38</v>
      </c>
      <c r="Q413" s="25">
        <v>258050630.13999999</v>
      </c>
      <c r="R413" s="25">
        <v>154918030.22</v>
      </c>
      <c r="S413" s="25">
        <v>190902303.28</v>
      </c>
      <c r="T413" s="25">
        <v>242468767.38</v>
      </c>
      <c r="U413" s="25">
        <v>104436109.98999999</v>
      </c>
      <c r="V413" s="25">
        <v>310269562.91000003</v>
      </c>
      <c r="W413" s="25">
        <v>143247172.44</v>
      </c>
      <c r="X413" s="25">
        <v>95150586.180000007</v>
      </c>
      <c r="Y413" s="25">
        <v>233203627.97999999</v>
      </c>
      <c r="Z413" s="5">
        <v>292027800.89999998</v>
      </c>
      <c r="AA413" s="5">
        <v>247776668.78</v>
      </c>
      <c r="AB413" s="5">
        <v>300213246.10000002</v>
      </c>
      <c r="AC413" s="5">
        <v>357086878.5</v>
      </c>
      <c r="AD413" s="5">
        <v>457418580.92000002</v>
      </c>
      <c r="AE413" s="5">
        <v>70028927.439999998</v>
      </c>
      <c r="AF413" s="4">
        <v>404603376.81</v>
      </c>
      <c r="AG413" s="4">
        <v>477778946.55000001</v>
      </c>
      <c r="AH413" s="5">
        <v>342332111.72000003</v>
      </c>
      <c r="AI413" s="5">
        <v>441484567.69999999</v>
      </c>
      <c r="AJ413" s="162">
        <v>9263829.1500000004</v>
      </c>
      <c r="AK413" s="163">
        <v>359477262.75</v>
      </c>
      <c r="AL413" s="162">
        <v>21323842.315000001</v>
      </c>
      <c r="AM413" s="163">
        <v>17534647.48</v>
      </c>
      <c r="AN413" s="162">
        <v>28632006.32</v>
      </c>
      <c r="AO413" s="163">
        <v>33522208.960000001</v>
      </c>
      <c r="AP413" s="162">
        <v>5217250.71</v>
      </c>
      <c r="AQ413" s="163">
        <v>110922362.87</v>
      </c>
      <c r="AR413" s="162">
        <v>10527136.359999999</v>
      </c>
      <c r="AS413" s="5">
        <v>21068170.940000001</v>
      </c>
      <c r="AT413" s="108">
        <v>135133706.00999999</v>
      </c>
      <c r="AU413" s="5">
        <v>36101207.07</v>
      </c>
      <c r="AV413" s="5">
        <v>136445343.16999999</v>
      </c>
      <c r="AW413" s="159">
        <v>38059869</v>
      </c>
      <c r="AX413" s="159">
        <v>7446608.4299999997</v>
      </c>
      <c r="AY413" s="159">
        <v>50555057.539999999</v>
      </c>
      <c r="AZ413" s="159">
        <v>193206785.38999999</v>
      </c>
      <c r="BA413" s="111">
        <v>159050800.11000001</v>
      </c>
      <c r="BB413" s="111">
        <v>-10674735.220000001</v>
      </c>
      <c r="BC413" s="159">
        <v>1636122166.6199999</v>
      </c>
      <c r="BD413" s="159">
        <v>1035284160.03</v>
      </c>
      <c r="BE413" s="111"/>
      <c r="BF413" s="111">
        <v>-283181774.48000002</v>
      </c>
      <c r="BG413" s="159">
        <v>2945954207.0043702</v>
      </c>
      <c r="BH413" s="159">
        <v>854194844.01999998</v>
      </c>
      <c r="BI413" s="111"/>
      <c r="BJ413" s="111"/>
    </row>
    <row r="414" spans="2:62" x14ac:dyDescent="0.2">
      <c r="C414" s="154">
        <v>0.09</v>
      </c>
      <c r="D414" s="161">
        <f t="shared" si="31"/>
        <v>10440531223.643925</v>
      </c>
      <c r="E414" s="161">
        <f t="shared" si="31"/>
        <v>9797889600.2815552</v>
      </c>
      <c r="F414" s="156">
        <f t="shared" si="29"/>
        <v>939647810.12795317</v>
      </c>
      <c r="G414" s="157">
        <f t="shared" si="30"/>
        <v>10440531223.643925</v>
      </c>
      <c r="H414" s="158">
        <f t="shared" ref="H414:H415" si="32">G414-SUM(J414,L414,N414,P414,R414,T414,V414,X414,Z414,AB414,AD414,AF414,AH414,AJ414,AL414,AN414,AP414,AR414,AU414,AW414)</f>
        <v>969150103.38000107</v>
      </c>
      <c r="I414" s="158">
        <f t="shared" si="27"/>
        <v>87223509.304200098</v>
      </c>
      <c r="J414" s="22">
        <v>5014547733.4339199</v>
      </c>
      <c r="K414" s="22">
        <v>4892353029.7115602</v>
      </c>
      <c r="L414" s="25">
        <v>227827431.78999999</v>
      </c>
      <c r="M414" s="25">
        <v>306581326.37</v>
      </c>
      <c r="N414" s="25">
        <v>308180986.70999998</v>
      </c>
      <c r="O414" s="25">
        <v>430359878.81999999</v>
      </c>
      <c r="P414" s="25">
        <v>319968282.66000003</v>
      </c>
      <c r="Q414" s="25">
        <v>257867564.30000001</v>
      </c>
      <c r="R414" s="25">
        <v>143034849.13</v>
      </c>
      <c r="S414" s="25">
        <v>155695023.31</v>
      </c>
      <c r="T414" s="25">
        <v>251756756.36000001</v>
      </c>
      <c r="U414" s="25">
        <v>333293817.45999998</v>
      </c>
      <c r="V414" s="25">
        <v>323116375.29000002</v>
      </c>
      <c r="W414" s="25">
        <v>383234543.18000001</v>
      </c>
      <c r="X414" s="25">
        <v>228038135.06</v>
      </c>
      <c r="Y414" s="25">
        <v>199810854.66999999</v>
      </c>
      <c r="Z414" s="5">
        <v>515909269.63</v>
      </c>
      <c r="AA414" s="5">
        <v>263744431.61000001</v>
      </c>
      <c r="AB414" s="5">
        <v>574978957.88999999</v>
      </c>
      <c r="AC414" s="5">
        <v>413171778</v>
      </c>
      <c r="AD414" s="5">
        <v>1017952283.7</v>
      </c>
      <c r="AE414" s="5">
        <v>1000231643.5599999</v>
      </c>
      <c r="AF414" s="4">
        <v>22756563.02</v>
      </c>
      <c r="AG414" s="4">
        <v>282430242.26999998</v>
      </c>
      <c r="AH414" s="5">
        <v>4534546.59</v>
      </c>
      <c r="AI414" s="5">
        <v>65474783.409999996</v>
      </c>
      <c r="AJ414" s="162">
        <v>35792540.729999997</v>
      </c>
      <c r="AK414" s="163">
        <v>65827967.630000003</v>
      </c>
      <c r="AL414" s="162">
        <v>67899708.859999999</v>
      </c>
      <c r="AM414" s="163">
        <v>60452778.880000003</v>
      </c>
      <c r="AN414" s="162">
        <v>-15021903.109999999</v>
      </c>
      <c r="AO414" s="163">
        <v>2703064.96</v>
      </c>
      <c r="AP414" s="162">
        <v>107659463.29000001</v>
      </c>
      <c r="AQ414" s="163">
        <v>79949925.75</v>
      </c>
      <c r="AR414" s="162">
        <v>83859376.609999999</v>
      </c>
      <c r="AS414" s="5">
        <v>74348075.319999993</v>
      </c>
      <c r="AT414" s="108">
        <v>132209.64000000001</v>
      </c>
      <c r="AU414" s="5">
        <v>120876318.43000001</v>
      </c>
      <c r="AV414" s="5">
        <v>866835.23</v>
      </c>
      <c r="AW414" s="159">
        <v>117713444.19</v>
      </c>
      <c r="AX414" s="159">
        <v>222542088.90000001</v>
      </c>
      <c r="AY414" s="159">
        <v>53264485.479999997</v>
      </c>
      <c r="AZ414" s="159">
        <v>80723241.310000002</v>
      </c>
      <c r="BA414" s="111">
        <v>395103.89</v>
      </c>
      <c r="BB414" s="111"/>
      <c r="BC414" s="159">
        <v>125907666.86</v>
      </c>
      <c r="BD414" s="159">
        <v>6040022.0799999898</v>
      </c>
      <c r="BE414" s="111"/>
      <c r="BF414" s="111">
        <v>-395103.89</v>
      </c>
      <c r="BG414" s="159">
        <v>789977951.03999996</v>
      </c>
      <c r="BH414" s="159">
        <v>220186683.55000001</v>
      </c>
      <c r="BI414" s="111"/>
      <c r="BJ414" s="111"/>
    </row>
    <row r="415" spans="2:62" x14ac:dyDescent="0.2">
      <c r="C415" s="154">
        <v>0.06</v>
      </c>
      <c r="D415" s="161">
        <f t="shared" si="31"/>
        <v>1086997701.8313422</v>
      </c>
      <c r="E415" s="161">
        <f t="shared" si="31"/>
        <v>861496325.1500001</v>
      </c>
      <c r="F415" s="156">
        <f t="shared" si="29"/>
        <v>65219862.109880529</v>
      </c>
      <c r="G415" s="157">
        <f t="shared" si="30"/>
        <v>1086997701.8313422</v>
      </c>
      <c r="H415" s="158">
        <f t="shared" si="32"/>
        <v>169354129.27620292</v>
      </c>
      <c r="I415" s="158">
        <f t="shared" si="27"/>
        <v>10161247.756572174</v>
      </c>
      <c r="J415" s="22">
        <v>462965517.21747398</v>
      </c>
      <c r="K415" s="22">
        <v>368851769.82999998</v>
      </c>
      <c r="L415" s="25">
        <v>31115335.420000002</v>
      </c>
      <c r="M415" s="25">
        <v>46954955.93</v>
      </c>
      <c r="N415" s="25">
        <v>10354856.550000001</v>
      </c>
      <c r="O415" s="25">
        <v>841508.13</v>
      </c>
      <c r="P415" s="25">
        <f>7266540.78+908238.11</f>
        <v>8174778.8900000006</v>
      </c>
      <c r="Q415" s="25">
        <v>31494650.27</v>
      </c>
      <c r="R415" s="25">
        <v>11080496.51</v>
      </c>
      <c r="S415" s="25">
        <v>3383984.34</v>
      </c>
      <c r="T415" s="25">
        <v>61458248.509999998</v>
      </c>
      <c r="U415" s="25">
        <v>80163685.019999996</v>
      </c>
      <c r="V415" s="25">
        <v>41199852.920000002</v>
      </c>
      <c r="W415" s="25">
        <v>15957187.529999999</v>
      </c>
      <c r="X415" s="25">
        <v>13673620.039999999</v>
      </c>
      <c r="Y415" s="25">
        <v>23584094.41</v>
      </c>
      <c r="Z415" s="5">
        <v>56236940.767665297</v>
      </c>
      <c r="AA415" s="5">
        <v>15636255.060000001</v>
      </c>
      <c r="AB415" s="5">
        <v>55858724.119999997</v>
      </c>
      <c r="AC415" s="5">
        <v>21528262.079999998</v>
      </c>
      <c r="AD415" s="5">
        <v>37278185.759999998</v>
      </c>
      <c r="AE415" s="5">
        <v>55999250.729999997</v>
      </c>
      <c r="AF415" s="4">
        <v>3805898.14</v>
      </c>
      <c r="AG415" s="4">
        <v>20327407.879999999</v>
      </c>
      <c r="AH415" s="5">
        <v>8717422.0899999999</v>
      </c>
      <c r="AI415" s="5">
        <v>19242330.690000001</v>
      </c>
      <c r="AJ415" s="162">
        <v>3759767.98</v>
      </c>
      <c r="AK415" s="163">
        <v>50781713.520000003</v>
      </c>
      <c r="AL415" s="162">
        <v>8158632.0099999998</v>
      </c>
      <c r="AM415" s="163">
        <v>617092.61</v>
      </c>
      <c r="AN415" s="162">
        <v>37274166.689999998</v>
      </c>
      <c r="AO415" s="163">
        <v>1749486.75</v>
      </c>
      <c r="AP415" s="162">
        <v>8839340.6899999995</v>
      </c>
      <c r="AQ415" s="163">
        <v>45968194.049999997</v>
      </c>
      <c r="AR415" s="162">
        <v>16432773.279999999</v>
      </c>
      <c r="AS415" s="5">
        <v>13731566.34</v>
      </c>
      <c r="AT415" s="108">
        <v>63624.73</v>
      </c>
      <c r="AU415" s="5">
        <v>22606165.02</v>
      </c>
      <c r="AV415" s="5">
        <v>2855156.33</v>
      </c>
      <c r="AW415" s="159">
        <v>18652849.949999999</v>
      </c>
      <c r="AX415" s="159">
        <v>9810630.4100000001</v>
      </c>
      <c r="AY415" s="159">
        <v>13275081.42</v>
      </c>
      <c r="AZ415" s="159">
        <v>39969021.810000002</v>
      </c>
      <c r="BA415" s="111"/>
      <c r="BB415" s="111"/>
      <c r="BC415" s="159">
        <v>-22711643.440000001</v>
      </c>
      <c r="BD415" s="159">
        <v>-28112069.149999999</v>
      </c>
      <c r="BE415" s="111"/>
      <c r="BF415" s="111"/>
      <c r="BG415" s="159">
        <v>178790691.29620299</v>
      </c>
      <c r="BH415" s="159">
        <v>20160190.579999998</v>
      </c>
      <c r="BI415" s="111"/>
      <c r="BJ415" s="111"/>
    </row>
    <row r="416" spans="2:62" x14ac:dyDescent="0.2">
      <c r="C416" s="164" t="s">
        <v>228</v>
      </c>
      <c r="D416" s="164">
        <f>SUM(D411:D415)</f>
        <v>26085995369.127422</v>
      </c>
      <c r="E416" s="164">
        <f t="shared" ref="E416:G416" si="33">SUM(E411:E415)</f>
        <v>22536672288.945778</v>
      </c>
      <c r="F416" s="165">
        <f t="shared" si="33"/>
        <v>2923199968.9779568</v>
      </c>
      <c r="G416" s="165">
        <f t="shared" si="33"/>
        <v>26252467124.239288</v>
      </c>
      <c r="L416" s="4">
        <f>SUM(L413:L415)</f>
        <v>442396995.24000001</v>
      </c>
      <c r="N416" s="4">
        <f>SUM(N413:N415)</f>
        <v>521251687.35194701</v>
      </c>
      <c r="P416" s="4">
        <f>SUM(P413:P415)</f>
        <v>635908712.92999995</v>
      </c>
      <c r="R416" s="4">
        <f>SUM(R413:R415)</f>
        <v>309033375.86000001</v>
      </c>
      <c r="T416" s="4">
        <f>SUM(T413:T415)</f>
        <v>555683772.25</v>
      </c>
      <c r="V416" s="4">
        <f>SUM(V413:V415)</f>
        <v>674585791.12</v>
      </c>
      <c r="X416" s="4">
        <f>SUM(X413:X415)</f>
        <v>336862341.28000003</v>
      </c>
      <c r="Y416" s="26">
        <f t="shared" ref="Y416:BJ416" si="34">SUM(Y413:Y415)</f>
        <v>456598577.06</v>
      </c>
      <c r="Z416" s="26">
        <f t="shared" si="34"/>
        <v>864174011.29766524</v>
      </c>
      <c r="AA416" s="26">
        <f t="shared" si="34"/>
        <v>527157355.44999999</v>
      </c>
      <c r="AB416" s="26">
        <f t="shared" si="34"/>
        <v>931050928.11000001</v>
      </c>
      <c r="AC416" s="26">
        <f t="shared" si="34"/>
        <v>791786918.58000004</v>
      </c>
      <c r="AD416" s="26">
        <f t="shared" si="34"/>
        <v>1512649050.3800001</v>
      </c>
      <c r="AE416" s="26">
        <f t="shared" si="34"/>
        <v>1126259821.73</v>
      </c>
      <c r="AF416" s="26">
        <f t="shared" si="34"/>
        <v>431165837.96999997</v>
      </c>
      <c r="AG416" s="26">
        <f t="shared" si="34"/>
        <v>780536596.69999993</v>
      </c>
      <c r="AH416" s="26">
        <f t="shared" si="34"/>
        <v>355584080.39999998</v>
      </c>
      <c r="AI416" s="26">
        <f t="shared" si="34"/>
        <v>526201681.80000001</v>
      </c>
      <c r="AJ416" s="26">
        <f t="shared" si="34"/>
        <v>48816137.859999992</v>
      </c>
      <c r="AK416" s="26">
        <f t="shared" si="34"/>
        <v>476086943.89999998</v>
      </c>
      <c r="AL416" s="26">
        <f t="shared" si="34"/>
        <v>97382183.185000002</v>
      </c>
      <c r="AM416" s="26">
        <f t="shared" si="34"/>
        <v>78604518.969999999</v>
      </c>
      <c r="AN416" s="26">
        <f t="shared" si="34"/>
        <v>50884269.899999999</v>
      </c>
      <c r="AO416" s="26">
        <f t="shared" si="34"/>
        <v>37974760.670000002</v>
      </c>
      <c r="AP416" s="26">
        <f t="shared" si="34"/>
        <v>121716054.69</v>
      </c>
      <c r="AQ416" s="26">
        <f t="shared" si="34"/>
        <v>236840482.67000002</v>
      </c>
      <c r="AR416" s="26">
        <f t="shared" si="34"/>
        <v>110819286.25</v>
      </c>
      <c r="AS416" s="26">
        <f t="shared" si="34"/>
        <v>109147812.59999999</v>
      </c>
      <c r="AT416" s="109">
        <f t="shared" si="34"/>
        <v>135329540.37999997</v>
      </c>
      <c r="AU416" s="26">
        <f t="shared" si="34"/>
        <v>179583690.52000001</v>
      </c>
      <c r="AV416" s="26">
        <f t="shared" si="34"/>
        <v>140167334.72999999</v>
      </c>
      <c r="AW416" s="159">
        <f t="shared" si="34"/>
        <v>174426163.13999999</v>
      </c>
      <c r="AX416" s="159">
        <f t="shared" si="34"/>
        <v>239799327.74000001</v>
      </c>
      <c r="AY416" s="159">
        <f t="shared" si="34"/>
        <v>117094624.44</v>
      </c>
      <c r="AZ416" s="159">
        <f t="shared" si="34"/>
        <v>313899048.50999999</v>
      </c>
      <c r="BA416" s="166">
        <f t="shared" si="34"/>
        <v>159445904</v>
      </c>
      <c r="BB416" s="166">
        <f t="shared" si="34"/>
        <v>-10674735.220000001</v>
      </c>
      <c r="BC416" s="159">
        <f t="shared" si="34"/>
        <v>1739318190.0399997</v>
      </c>
      <c r="BD416" s="159">
        <f t="shared" si="34"/>
        <v>1013212112.96</v>
      </c>
      <c r="BE416" s="166">
        <f t="shared" si="34"/>
        <v>0</v>
      </c>
      <c r="BF416" s="166">
        <f t="shared" si="34"/>
        <v>-283576878.37</v>
      </c>
      <c r="BG416" s="159">
        <f t="shared" si="34"/>
        <v>3914722849.3405733</v>
      </c>
      <c r="BH416" s="159">
        <f t="shared" si="34"/>
        <v>1094541718.1499999</v>
      </c>
      <c r="BI416" s="166">
        <f t="shared" si="34"/>
        <v>0</v>
      </c>
      <c r="BJ416" s="166">
        <f t="shared" si="34"/>
        <v>0</v>
      </c>
    </row>
    <row r="417" spans="3:60" x14ac:dyDescent="0.2">
      <c r="C417" s="164"/>
      <c r="D417" s="167">
        <f>G403-D416</f>
        <v>-1.6956329345703125E-2</v>
      </c>
      <c r="E417" s="167">
        <f>H403-E416</f>
        <v>0</v>
      </c>
      <c r="F417" s="164"/>
      <c r="G417" s="164"/>
      <c r="X417" s="26" t="b">
        <f>X416=X403</f>
        <v>1</v>
      </c>
      <c r="Y417" s="26" t="b">
        <f>Y416=Y403</f>
        <v>1</v>
      </c>
      <c r="Z417" s="26" t="b">
        <f>Z416=Z403</f>
        <v>1</v>
      </c>
      <c r="AA417" s="26" t="b">
        <f>AA416=AA403</f>
        <v>1</v>
      </c>
      <c r="AC417" s="26"/>
      <c r="AF417" s="162" t="b">
        <f>'[1]12月PL'!E5=AF416</f>
        <v>1</v>
      </c>
      <c r="AG417" s="3" t="b">
        <f>AG416=SUM('[1]增值税表一 累计销项'!C4:C6)</f>
        <v>1</v>
      </c>
      <c r="AH417" s="5" t="b">
        <f>'[1]12月PL'!D39=AH416</f>
        <v>1</v>
      </c>
      <c r="AI417" s="5" t="b">
        <f>AI416=('[1]增值税表一 累计销项'!C7+'[1]增值税表一 累计销项'!C8+'[1]增值税表一 累计销项'!C9)</f>
        <v>1</v>
      </c>
      <c r="AY417" s="5"/>
      <c r="AZ417" s="5"/>
      <c r="BC417" s="5"/>
      <c r="BD417" s="5"/>
      <c r="BG417" s="5"/>
      <c r="BH417" s="5"/>
    </row>
    <row r="418" spans="3:60" x14ac:dyDescent="0.2">
      <c r="D418" s="2"/>
      <c r="E418" s="2"/>
      <c r="F418" s="2"/>
      <c r="G418" s="2"/>
    </row>
    <row r="419" spans="3:60" x14ac:dyDescent="0.2">
      <c r="D419" s="2"/>
      <c r="E419" s="2"/>
      <c r="F419" s="2"/>
      <c r="G419" s="2"/>
      <c r="H419" s="131">
        <v>202509</v>
      </c>
      <c r="I419" s="132"/>
    </row>
    <row r="420" spans="3:60" x14ac:dyDescent="0.2">
      <c r="H420" s="145" t="s">
        <v>242</v>
      </c>
      <c r="I420" s="145" t="s">
        <v>238</v>
      </c>
    </row>
    <row r="421" spans="3:60" x14ac:dyDescent="0.2">
      <c r="H421" s="25">
        <v>0</v>
      </c>
      <c r="I421" s="25">
        <v>0</v>
      </c>
    </row>
    <row r="422" spans="3:60" x14ac:dyDescent="0.2">
      <c r="H422" s="25">
        <v>19558533.0776329</v>
      </c>
      <c r="I422" s="25">
        <v>1760267.97698696</v>
      </c>
    </row>
    <row r="423" spans="3:60" x14ac:dyDescent="0.2">
      <c r="H423" s="25">
        <v>0</v>
      </c>
      <c r="I423" s="25">
        <v>0</v>
      </c>
    </row>
    <row r="424" spans="3:60" x14ac:dyDescent="0.2">
      <c r="C424" s="168"/>
    </row>
    <row r="425" spans="3:60" x14ac:dyDescent="0.2">
      <c r="E425" s="22"/>
      <c r="F425" s="169" t="s">
        <v>233</v>
      </c>
      <c r="G425" s="170" t="s">
        <v>243</v>
      </c>
      <c r="H425" s="169" t="s">
        <v>244</v>
      </c>
      <c r="I425" s="170" t="s">
        <v>245</v>
      </c>
      <c r="J425" s="171" t="s">
        <v>246</v>
      </c>
      <c r="K425" s="169" t="s">
        <v>247</v>
      </c>
      <c r="AB425" s="170" t="s">
        <v>248</v>
      </c>
    </row>
    <row r="426" spans="3:60" x14ac:dyDescent="0.2">
      <c r="E426" s="29" t="s">
        <v>249</v>
      </c>
      <c r="F426" s="20">
        <v>41282055.159999996</v>
      </c>
      <c r="G426" s="22">
        <v>7017949.3799999999</v>
      </c>
      <c r="H426" s="20">
        <v>41282055.159999996</v>
      </c>
      <c r="I426" s="22">
        <v>0</v>
      </c>
      <c r="J426" s="172"/>
      <c r="K426" s="20">
        <f>F426-H426</f>
        <v>0</v>
      </c>
    </row>
    <row r="427" spans="3:60" x14ac:dyDescent="0.2">
      <c r="E427" s="29" t="s">
        <v>250</v>
      </c>
      <c r="F427" s="20">
        <v>420330069.87</v>
      </c>
      <c r="G427" s="22">
        <v>60902536.159999996</v>
      </c>
      <c r="H427" s="20">
        <v>334541118.81</v>
      </c>
      <c r="I427" s="22">
        <v>161000</v>
      </c>
      <c r="J427" s="172" t="s">
        <v>251</v>
      </c>
      <c r="K427" s="20">
        <f t="shared" ref="K427:K434" si="35">F427-H427</f>
        <v>85788951.060000002</v>
      </c>
    </row>
    <row r="428" spans="3:60" x14ac:dyDescent="0.2">
      <c r="E428" s="29" t="s">
        <v>252</v>
      </c>
      <c r="F428" s="20">
        <v>2301139341.79</v>
      </c>
      <c r="G428" s="22">
        <v>254706884.74000001</v>
      </c>
      <c r="H428" s="20">
        <v>1999463024.4400001</v>
      </c>
      <c r="I428" s="22">
        <v>235999.88</v>
      </c>
      <c r="J428" s="172" t="s">
        <v>253</v>
      </c>
      <c r="K428" s="20">
        <f t="shared" si="35"/>
        <v>301676317.3499999</v>
      </c>
    </row>
    <row r="429" spans="3:60" x14ac:dyDescent="0.2">
      <c r="E429" s="29" t="s">
        <v>254</v>
      </c>
      <c r="F429" s="20">
        <v>815188655.25999999</v>
      </c>
      <c r="G429" s="22">
        <v>83843351.409999996</v>
      </c>
      <c r="H429" s="20">
        <v>1049924138.09</v>
      </c>
      <c r="I429" s="22">
        <v>44000</v>
      </c>
      <c r="J429" s="172" t="s">
        <v>255</v>
      </c>
      <c r="K429" s="20">
        <f t="shared" si="35"/>
        <v>-234735482.83000004</v>
      </c>
    </row>
    <row r="430" spans="3:60" x14ac:dyDescent="0.2">
      <c r="E430" s="29" t="s">
        <v>256</v>
      </c>
      <c r="F430" s="20">
        <v>931375742.59000003</v>
      </c>
      <c r="G430" s="22">
        <v>102789511.54000001</v>
      </c>
      <c r="H430" s="20">
        <v>1026309094.76</v>
      </c>
      <c r="I430" s="22">
        <v>0</v>
      </c>
      <c r="J430" s="172"/>
      <c r="K430" s="20">
        <f t="shared" si="35"/>
        <v>-94933352.169999957</v>
      </c>
    </row>
    <row r="431" spans="3:60" x14ac:dyDescent="0.2">
      <c r="E431" s="29" t="s">
        <v>257</v>
      </c>
      <c r="F431" s="20">
        <v>3359111464.8400002</v>
      </c>
      <c r="G431" s="22">
        <v>375917003.49000001</v>
      </c>
      <c r="H431" s="20">
        <v>3351475271.3099999</v>
      </c>
      <c r="I431" s="22">
        <v>1.03</v>
      </c>
      <c r="J431" s="172"/>
      <c r="K431" s="20">
        <f t="shared" si="35"/>
        <v>7636193.5300002098</v>
      </c>
    </row>
    <row r="432" spans="3:60" x14ac:dyDescent="0.2">
      <c r="E432" s="29" t="s">
        <v>258</v>
      </c>
      <c r="F432" s="20">
        <v>5758960160.3299999</v>
      </c>
      <c r="G432" s="22">
        <v>645743495.35000002</v>
      </c>
      <c r="H432" s="20">
        <v>5758920983.3699999</v>
      </c>
      <c r="I432" s="22">
        <v>0</v>
      </c>
      <c r="J432" s="172"/>
      <c r="K432" s="20">
        <f t="shared" si="35"/>
        <v>39176.960000038147</v>
      </c>
    </row>
    <row r="433" spans="5:31 16367:16374" x14ac:dyDescent="0.2">
      <c r="E433" s="59" t="s">
        <v>259</v>
      </c>
      <c r="F433" s="20">
        <f>2241545958.96+R408+T408+V408+X408+Z408+AB408+AD408</f>
        <v>7425585229.2576656</v>
      </c>
      <c r="G433" s="22">
        <f>SUM('[1]增值税表一 累计销项'!J20:J36)+232999533.02</f>
        <v>521589084.2822001</v>
      </c>
      <c r="H433" s="20">
        <v>7333842109.9996099</v>
      </c>
      <c r="I433" s="22">
        <v>0</v>
      </c>
      <c r="J433" s="172"/>
      <c r="K433" s="20">
        <f t="shared" si="35"/>
        <v>91743119.258055687</v>
      </c>
      <c r="AB433" s="5">
        <f>F433-H433</f>
        <v>91743119.258055687</v>
      </c>
      <c r="AC433" s="5" t="s">
        <v>260</v>
      </c>
    </row>
    <row r="434" spans="5:31 16367:16374" x14ac:dyDescent="0.2">
      <c r="E434" s="59" t="s">
        <v>261</v>
      </c>
      <c r="F434" s="20">
        <f>SUM([1]账税差异监控!J4:J12)</f>
        <v>1705707244.2949996</v>
      </c>
      <c r="G434" s="22">
        <f>SUM('[1]增值税表一 累计销项'!J4:J30)</f>
        <v>190912106.15095004</v>
      </c>
      <c r="H434" s="20">
        <v>1570377703.9200001</v>
      </c>
      <c r="I434" s="22">
        <v>0</v>
      </c>
      <c r="J434" s="5"/>
      <c r="K434" s="5">
        <f t="shared" si="35"/>
        <v>135329540.37499952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5">
        <f>F434-H434</f>
        <v>135329540.37499952</v>
      </c>
      <c r="AC434" s="5" t="s">
        <v>262</v>
      </c>
      <c r="AD434" s="3"/>
      <c r="AE434" s="3"/>
      <c r="XEM434" s="1"/>
      <c r="XEN434" s="2"/>
      <c r="XEP434" s="59"/>
      <c r="XEQ434" s="20"/>
      <c r="XER434" s="22"/>
      <c r="XES434" s="20"/>
      <c r="XET434" s="22"/>
    </row>
    <row r="435" spans="5:31 16367:16374" x14ac:dyDescent="0.2">
      <c r="F435" s="173">
        <f>SUM(F426:F433)</f>
        <v>21052972719.097664</v>
      </c>
      <c r="G435" s="174">
        <f>SUM(G426:G433)</f>
        <v>2052509816.3522003</v>
      </c>
      <c r="H435" s="173">
        <f>SUM(H426:H433)</f>
        <v>20895757795.93961</v>
      </c>
      <c r="I435" s="174"/>
      <c r="J435" s="174"/>
      <c r="K435" s="173">
        <f>SUM(K426:K434)</f>
        <v>292544463.53305537</v>
      </c>
    </row>
  </sheetData>
  <autoFilter ref="B2:XET405" xr:uid="{00000000-0009-0000-0000-000001000000}"/>
  <mergeCells count="312">
    <mergeCell ref="BG409:BJ409"/>
    <mergeCell ref="H419:I419"/>
    <mergeCell ref="AP409:AQ409"/>
    <mergeCell ref="AR409:AS409"/>
    <mergeCell ref="AT409:AV409"/>
    <mergeCell ref="AW409:AX409"/>
    <mergeCell ref="AY409:BB409"/>
    <mergeCell ref="BC409:BF409"/>
    <mergeCell ref="AD409:AE409"/>
    <mergeCell ref="AF409:AG409"/>
    <mergeCell ref="AH409:AI409"/>
    <mergeCell ref="AJ409:AK409"/>
    <mergeCell ref="AL409:AM409"/>
    <mergeCell ref="AN409:AO409"/>
    <mergeCell ref="R409:S409"/>
    <mergeCell ref="T409:U409"/>
    <mergeCell ref="V409:W409"/>
    <mergeCell ref="X409:Y409"/>
    <mergeCell ref="Z409:AA409"/>
    <mergeCell ref="AB409:AC409"/>
    <mergeCell ref="H409:H410"/>
    <mergeCell ref="I409:I410"/>
    <mergeCell ref="J409:K409"/>
    <mergeCell ref="L409:M409"/>
    <mergeCell ref="N409:O409"/>
    <mergeCell ref="P409:Q409"/>
    <mergeCell ref="B403:F403"/>
    <mergeCell ref="C409:C410"/>
    <mergeCell ref="D409:D410"/>
    <mergeCell ref="E409:E410"/>
    <mergeCell ref="F409:F410"/>
    <mergeCell ref="G409:G410"/>
    <mergeCell ref="B393:B395"/>
    <mergeCell ref="D393:D395"/>
    <mergeCell ref="B396:B398"/>
    <mergeCell ref="D396:D398"/>
    <mergeCell ref="B399:B401"/>
    <mergeCell ref="D399:D401"/>
    <mergeCell ref="B384:B386"/>
    <mergeCell ref="C384:C386"/>
    <mergeCell ref="D384:D386"/>
    <mergeCell ref="B387:B389"/>
    <mergeCell ref="D387:D389"/>
    <mergeCell ref="B390:B392"/>
    <mergeCell ref="D390:D392"/>
    <mergeCell ref="B378:B380"/>
    <mergeCell ref="C378:C380"/>
    <mergeCell ref="D378:D380"/>
    <mergeCell ref="B381:B383"/>
    <mergeCell ref="C381:C383"/>
    <mergeCell ref="D381:D383"/>
    <mergeCell ref="B369:B371"/>
    <mergeCell ref="D369:D371"/>
    <mergeCell ref="B372:B374"/>
    <mergeCell ref="C372:C374"/>
    <mergeCell ref="D372:D374"/>
    <mergeCell ref="B375:B377"/>
    <mergeCell ref="C375:C377"/>
    <mergeCell ref="D375:D377"/>
    <mergeCell ref="B360:B362"/>
    <mergeCell ref="D360:D362"/>
    <mergeCell ref="B363:B365"/>
    <mergeCell ref="D363:D365"/>
    <mergeCell ref="B366:B368"/>
    <mergeCell ref="D366:D368"/>
    <mergeCell ref="B354:B356"/>
    <mergeCell ref="C354:C356"/>
    <mergeCell ref="D354:D356"/>
    <mergeCell ref="B357:B359"/>
    <mergeCell ref="C357:C359"/>
    <mergeCell ref="D357:D359"/>
    <mergeCell ref="B345:B347"/>
    <mergeCell ref="D345:D347"/>
    <mergeCell ref="B348:B350"/>
    <mergeCell ref="D348:D350"/>
    <mergeCell ref="B351:B353"/>
    <mergeCell ref="D351:D353"/>
    <mergeCell ref="B336:B338"/>
    <mergeCell ref="D336:D338"/>
    <mergeCell ref="B339:B341"/>
    <mergeCell ref="D339:D341"/>
    <mergeCell ref="B342:B344"/>
    <mergeCell ref="D342:D344"/>
    <mergeCell ref="B327:B329"/>
    <mergeCell ref="D327:D329"/>
    <mergeCell ref="B330:B332"/>
    <mergeCell ref="D330:D332"/>
    <mergeCell ref="B333:B335"/>
    <mergeCell ref="D333:D335"/>
    <mergeCell ref="B318:B320"/>
    <mergeCell ref="D318:D320"/>
    <mergeCell ref="B321:B323"/>
    <mergeCell ref="D321:D323"/>
    <mergeCell ref="B324:B326"/>
    <mergeCell ref="D324:D326"/>
    <mergeCell ref="B309:B311"/>
    <mergeCell ref="D309:D311"/>
    <mergeCell ref="B312:B314"/>
    <mergeCell ref="D312:D314"/>
    <mergeCell ref="B315:B317"/>
    <mergeCell ref="D315:D317"/>
    <mergeCell ref="B300:B302"/>
    <mergeCell ref="D300:D302"/>
    <mergeCell ref="B303:B305"/>
    <mergeCell ref="D303:D305"/>
    <mergeCell ref="B306:B308"/>
    <mergeCell ref="D306:D308"/>
    <mergeCell ref="B294:B296"/>
    <mergeCell ref="C294:C296"/>
    <mergeCell ref="D294:D296"/>
    <mergeCell ref="B297:B299"/>
    <mergeCell ref="C297:C299"/>
    <mergeCell ref="D297:D299"/>
    <mergeCell ref="B285:B287"/>
    <mergeCell ref="D285:D287"/>
    <mergeCell ref="B288:B290"/>
    <mergeCell ref="D288:D290"/>
    <mergeCell ref="B291:B293"/>
    <mergeCell ref="C291:C293"/>
    <mergeCell ref="D291:D293"/>
    <mergeCell ref="B276:B278"/>
    <mergeCell ref="D276:D278"/>
    <mergeCell ref="B279:B281"/>
    <mergeCell ref="D279:D281"/>
    <mergeCell ref="B282:B284"/>
    <mergeCell ref="D282:D284"/>
    <mergeCell ref="B267:B269"/>
    <mergeCell ref="D267:D269"/>
    <mergeCell ref="B270:B272"/>
    <mergeCell ref="D270:D272"/>
    <mergeCell ref="B273:B275"/>
    <mergeCell ref="D273:D275"/>
    <mergeCell ref="B258:B260"/>
    <mergeCell ref="D258:D260"/>
    <mergeCell ref="B261:B263"/>
    <mergeCell ref="D261:D263"/>
    <mergeCell ref="B264:B266"/>
    <mergeCell ref="D264:D266"/>
    <mergeCell ref="B249:B251"/>
    <mergeCell ref="D249:D251"/>
    <mergeCell ref="B252:B254"/>
    <mergeCell ref="D252:D254"/>
    <mergeCell ref="B255:B257"/>
    <mergeCell ref="D255:D257"/>
    <mergeCell ref="B240:B242"/>
    <mergeCell ref="D240:D242"/>
    <mergeCell ref="B243:B245"/>
    <mergeCell ref="C243:C245"/>
    <mergeCell ref="D243:D245"/>
    <mergeCell ref="B246:B248"/>
    <mergeCell ref="D246:D248"/>
    <mergeCell ref="B234:B236"/>
    <mergeCell ref="C234:C236"/>
    <mergeCell ref="D234:D236"/>
    <mergeCell ref="B237:B239"/>
    <mergeCell ref="C237:C239"/>
    <mergeCell ref="D237:D239"/>
    <mergeCell ref="B225:B227"/>
    <mergeCell ref="D225:D227"/>
    <mergeCell ref="B228:B230"/>
    <mergeCell ref="D228:D230"/>
    <mergeCell ref="B231:B233"/>
    <mergeCell ref="C231:C233"/>
    <mergeCell ref="D231:D233"/>
    <mergeCell ref="B216:B218"/>
    <mergeCell ref="D216:D218"/>
    <mergeCell ref="B219:B221"/>
    <mergeCell ref="D219:D221"/>
    <mergeCell ref="B222:B224"/>
    <mergeCell ref="D222:D224"/>
    <mergeCell ref="B207:B209"/>
    <mergeCell ref="D207:D209"/>
    <mergeCell ref="B210:B212"/>
    <mergeCell ref="D210:D212"/>
    <mergeCell ref="B213:B215"/>
    <mergeCell ref="D213:D215"/>
    <mergeCell ref="B198:B200"/>
    <mergeCell ref="D198:D200"/>
    <mergeCell ref="B201:B203"/>
    <mergeCell ref="D201:D203"/>
    <mergeCell ref="B204:B206"/>
    <mergeCell ref="D204:D206"/>
    <mergeCell ref="B189:B191"/>
    <mergeCell ref="D189:D191"/>
    <mergeCell ref="B192:B194"/>
    <mergeCell ref="D192:D194"/>
    <mergeCell ref="B195:B197"/>
    <mergeCell ref="D195:D197"/>
    <mergeCell ref="B180:B182"/>
    <mergeCell ref="D180:D182"/>
    <mergeCell ref="B183:B185"/>
    <mergeCell ref="D183:D185"/>
    <mergeCell ref="B186:B188"/>
    <mergeCell ref="D186:D188"/>
    <mergeCell ref="B171:B173"/>
    <mergeCell ref="D171:D173"/>
    <mergeCell ref="B174:B176"/>
    <mergeCell ref="D174:D176"/>
    <mergeCell ref="B177:B179"/>
    <mergeCell ref="D177:D179"/>
    <mergeCell ref="B162:B164"/>
    <mergeCell ref="D162:D164"/>
    <mergeCell ref="B165:B167"/>
    <mergeCell ref="D165:D167"/>
    <mergeCell ref="B168:B170"/>
    <mergeCell ref="D168:D170"/>
    <mergeCell ref="B153:B154"/>
    <mergeCell ref="D153:D154"/>
    <mergeCell ref="B156:B158"/>
    <mergeCell ref="C156:C158"/>
    <mergeCell ref="D156:D158"/>
    <mergeCell ref="B159:B161"/>
    <mergeCell ref="C159:C161"/>
    <mergeCell ref="D159:D161"/>
    <mergeCell ref="B137:B139"/>
    <mergeCell ref="D137:D139"/>
    <mergeCell ref="B140:B142"/>
    <mergeCell ref="D140:D142"/>
    <mergeCell ref="B146:B148"/>
    <mergeCell ref="B149:B151"/>
    <mergeCell ref="B128:B130"/>
    <mergeCell ref="D128:D130"/>
    <mergeCell ref="B131:B133"/>
    <mergeCell ref="D131:D133"/>
    <mergeCell ref="B134:B136"/>
    <mergeCell ref="D134:D136"/>
    <mergeCell ref="B119:B121"/>
    <mergeCell ref="D119:D121"/>
    <mergeCell ref="B122:B124"/>
    <mergeCell ref="D122:D124"/>
    <mergeCell ref="B125:B127"/>
    <mergeCell ref="D125:D127"/>
    <mergeCell ref="B110:B112"/>
    <mergeCell ref="D110:D112"/>
    <mergeCell ref="B113:B115"/>
    <mergeCell ref="D113:D115"/>
    <mergeCell ref="B116:B118"/>
    <mergeCell ref="D116:D118"/>
    <mergeCell ref="B101:B103"/>
    <mergeCell ref="D101:D103"/>
    <mergeCell ref="B104:B106"/>
    <mergeCell ref="D104:D106"/>
    <mergeCell ref="B107:B109"/>
    <mergeCell ref="D107:D109"/>
    <mergeCell ref="B92:B94"/>
    <mergeCell ref="D92:D94"/>
    <mergeCell ref="B95:B97"/>
    <mergeCell ref="D95:D97"/>
    <mergeCell ref="B98:B100"/>
    <mergeCell ref="D98:D100"/>
    <mergeCell ref="B83:B85"/>
    <mergeCell ref="D83:D85"/>
    <mergeCell ref="B86:B88"/>
    <mergeCell ref="D86:D88"/>
    <mergeCell ref="B89:B91"/>
    <mergeCell ref="D89:D91"/>
    <mergeCell ref="B74:B76"/>
    <mergeCell ref="D74:D76"/>
    <mergeCell ref="B77:B79"/>
    <mergeCell ref="D77:D79"/>
    <mergeCell ref="B80:B82"/>
    <mergeCell ref="D80:D82"/>
    <mergeCell ref="B65:B67"/>
    <mergeCell ref="D65:D67"/>
    <mergeCell ref="B68:B70"/>
    <mergeCell ref="D68:D70"/>
    <mergeCell ref="B71:B73"/>
    <mergeCell ref="D71:D73"/>
    <mergeCell ref="B59:B61"/>
    <mergeCell ref="C59:C61"/>
    <mergeCell ref="D59:D61"/>
    <mergeCell ref="B62:B64"/>
    <mergeCell ref="C62:C64"/>
    <mergeCell ref="D62:D64"/>
    <mergeCell ref="B50:B52"/>
    <mergeCell ref="D50:D52"/>
    <mergeCell ref="B53:B55"/>
    <mergeCell ref="D53:D55"/>
    <mergeCell ref="B56:B58"/>
    <mergeCell ref="D56:D58"/>
    <mergeCell ref="B41:B43"/>
    <mergeCell ref="D41:D43"/>
    <mergeCell ref="B44:B46"/>
    <mergeCell ref="D44:D46"/>
    <mergeCell ref="B47:B49"/>
    <mergeCell ref="D47:D49"/>
    <mergeCell ref="B32:B34"/>
    <mergeCell ref="D32:D34"/>
    <mergeCell ref="B35:B37"/>
    <mergeCell ref="D35:D37"/>
    <mergeCell ref="B38:B40"/>
    <mergeCell ref="D38:D40"/>
    <mergeCell ref="B23:B25"/>
    <mergeCell ref="D23:D25"/>
    <mergeCell ref="B26:B28"/>
    <mergeCell ref="D26:D28"/>
    <mergeCell ref="B29:B31"/>
    <mergeCell ref="D29:D31"/>
    <mergeCell ref="B14:B16"/>
    <mergeCell ref="D14:D16"/>
    <mergeCell ref="B17:B19"/>
    <mergeCell ref="D17:D19"/>
    <mergeCell ref="B20:B22"/>
    <mergeCell ref="D20:D22"/>
    <mergeCell ref="B3:B7"/>
    <mergeCell ref="C3:C7"/>
    <mergeCell ref="D3:D7"/>
    <mergeCell ref="B8:B10"/>
    <mergeCell ref="D8:D10"/>
    <mergeCell ref="B11:B13"/>
    <mergeCell ref="C11:C13"/>
    <mergeCell ref="D11:D13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累计项目税收明细表202512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2026-04-24T01:58:32Z</dcterms:created>
  <dcterms:modified xsi:type="dcterms:W3CDTF">2026-04-24T01:58:43Z</dcterms:modified>
</cp:coreProperties>
</file>